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7.xml" ContentType="application/vnd.openxmlformats-officedocument.drawingml.chartshapes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charts/chart3.xml" ContentType="application/vnd.openxmlformats-officedocument.drawingml.chart+xml"/>
  <Override PartName="/xl/drawings/drawing9.xml" ContentType="application/vnd.openxmlformats-officedocument.drawingml.chartshapes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0" yWindow="150" windowWidth="19420" windowHeight="7490"/>
  </bookViews>
  <sheets>
    <sheet name="Cover" sheetId="5" r:id="rId1"/>
    <sheet name="Contents" sheetId="6" r:id="rId2"/>
    <sheet name="Assumptions_SC" sheetId="7" r:id="rId3"/>
    <sheet name="Key_Assumptions_BA" sheetId="17" r:id="rId4"/>
    <sheet name="Calcs_TA" sheetId="18" r:id="rId5"/>
    <sheet name="Outputs_SC" sheetId="10" r:id="rId6"/>
    <sheet name="Outputs_TO" sheetId="19" r:id="rId7"/>
    <sheet name="Dashboard_P_MS" sheetId="23" r:id="rId8"/>
    <sheet name="Qn_Sol_BO" sheetId="21" r:id="rId9"/>
    <sheet name="Appendices_SC" sheetId="12" r:id="rId10"/>
    <sheet name="TS_LU" sheetId="14" r:id="rId11"/>
    <sheet name="Checks_BO" sheetId="16" r:id="rId12"/>
  </sheets>
  <definedNames>
    <definedName name="Alt_Chk_1_Hdg" hidden="1">"Loan 1 solution"</definedName>
    <definedName name="Alt_Chk_2_Hdg" hidden="1">"Loan 2 solution"</definedName>
    <definedName name="Alt_Chks_Msg">Checks_BO!$I$33</definedName>
    <definedName name="Alt_Chks_Ttl_Areas">Checks_BO!$M$42</definedName>
    <definedName name="BA_Alt_Chks" hidden="1">Checks_BO!$26:$42</definedName>
    <definedName name="BA_Err_Chks" hidden="1">Checks_BO!$5:$23</definedName>
    <definedName name="BA_LU" hidden="1">TS_LU!$5:$8</definedName>
    <definedName name="BA_Sens_Chks" hidden="1">Checks_BO!$24:$24</definedName>
    <definedName name="bal_diff">Calcs_TA!$F$40</definedName>
    <definedName name="CA_Alt_Chks">Checks_BO!$K$39:$K$40</definedName>
    <definedName name="CA_Alt_Chks_Area_Names">Checks_BO!$D$39:$D$40</definedName>
    <definedName name="CA_Alt_Chks_Flags">Checks_BO!$M$39:$M$40</definedName>
    <definedName name="CA_Alt_Chks_Inc">Checks_BO!$L$39:$L$40</definedName>
    <definedName name="CA_Err_Chks">Checks_BO!$K$20:$K$21</definedName>
    <definedName name="CA_Err_Chks_Area_Names">Checks_BO!$D$20:$D$21</definedName>
    <definedName name="CA_Err_Chks_Flags">Checks_BO!$M$20:$M$21</definedName>
    <definedName name="CA_Err_Chks_Inc">Checks_BO!$L$20:$L$21</definedName>
    <definedName name="CA_holidays">Key_Assumptions_BA!$F$10:$F$27</definedName>
    <definedName name="CB_Alt_Chks_Show_Msg">Checks_BO!$C$28</definedName>
    <definedName name="CB_Err_Chks_Show_Msg">Checks_BO!$C$9</definedName>
    <definedName name="current_bal">Calcs_TA!$H$40</definedName>
    <definedName name="days_in_yr">Key_Assumptions_BA!$L$9</definedName>
    <definedName name="DD_Loan_Profile">Dashboard_P_MS!$AJ$21</definedName>
    <definedName name="DD_selection">Key_Assumptions_BA!$L$12</definedName>
    <definedName name="Err_Chk_1_Hdg" hidden="1">"Goal seek check"</definedName>
    <definedName name="Err_Chk_2_Hdg" hidden="1">"Goalseek to zero check"</definedName>
    <definedName name="Err_Chks_Msg">Checks_BO!$I$14</definedName>
    <definedName name="Err_Chks_Ttl_Areas">Checks_BO!$M$23</definedName>
    <definedName name="HL_Alt_Chk">Checks_BO!$B$26</definedName>
    <definedName name="HL_Alt_Chk_1" hidden="1">Qn_Sol_BO!$I$10</definedName>
    <definedName name="HL_Alt_Chk_2" hidden="1">Qn_Sol_BO!$I$46</definedName>
    <definedName name="HL_Dashboard">Dashboard_P_MS!$B$1</definedName>
    <definedName name="HL_Err_Chk">Checks_BO!$B$7</definedName>
    <definedName name="HL_Err_Chk_1" hidden="1">Key_Assumptions_BA!$L$15</definedName>
    <definedName name="HL_Err_Chk_2" hidden="1">Calcs_TA!$CC$37</definedName>
    <definedName name="HL_Home">Contents!$B$1</definedName>
    <definedName name="HL_link_assumptions">Outputs_TO!$B$1</definedName>
    <definedName name="HL_Link_outputs">Calcs_TA!$B$1</definedName>
    <definedName name="HL_Loan_selection">Key_Assumptions_BA!$N$12</definedName>
    <definedName name="HL_Select">Key_Assumptions_BA!$I$12</definedName>
    <definedName name="HL_Sheet_Main" hidden="1">Cover!$A$1</definedName>
    <definedName name="HL_Sheet_Main_10" hidden="1">TS_LU!$A$1</definedName>
    <definedName name="HL_Sheet_Main_12" hidden="1">Checks_BO!$A$1</definedName>
    <definedName name="HL_Sheet_Main_13" hidden="1">Key_Assumptions_BA!$A$1</definedName>
    <definedName name="HL_Sheet_Main_14" hidden="1">Outputs_TO!$A$1</definedName>
    <definedName name="HL_Sheet_Main_2" hidden="1">Contents!$A$1</definedName>
    <definedName name="HL_Sheet_Main_3" hidden="1">Assumptions_SC!$A$1</definedName>
    <definedName name="HL_Sheet_Main_4" hidden="1">Dashboard_P_MS!$A$1</definedName>
    <definedName name="HL_Sheet_Main_5" hidden="1">Calcs_TA!$A$1</definedName>
    <definedName name="HL_Sheet_Main_6" hidden="1">Outputs_SC!$A$1</definedName>
    <definedName name="HL_Sheet_Main_7" hidden="1">Qn_Sol_BO!$A$1</definedName>
    <definedName name="HL_Sheet_Main_8" hidden="1">Appendices_SC!$A$1</definedName>
    <definedName name="HL_TOC_1" hidden="1">TS_LU!$B$7</definedName>
    <definedName name="HL_TOC_3" hidden="1">Checks_BO!$B$7</definedName>
    <definedName name="HL_TOC_5" hidden="1">Checks_BO!$B$26</definedName>
    <definedName name="holidays">Key_Assumptions_BA!$F$10:$F$27</definedName>
    <definedName name="int">Key_Assumptions_BA!$L$22</definedName>
    <definedName name="int_rate">Key_Assumptions_BA!$L$22</definedName>
    <definedName name="LU_loan_selection">TS_LU!$D$11:$D$12</definedName>
    <definedName name="LU_month_selection">TS_LU!$D$17:$D$88</definedName>
    <definedName name="Model_Name">Cover!$C$10</definedName>
    <definedName name="month_selection">TS_LU!$D$17:$D$88</definedName>
    <definedName name="mths_in_year">Key_Assumptions_BA!$L$10</definedName>
    <definedName name="pmt">Key_Assumptions_BA!$L$24</definedName>
    <definedName name="pmt_gseek">Calcs_TA!$H$41</definedName>
    <definedName name="_xlnm.Print_Area" localSheetId="9">Appendices_SC!$B$1:$N$30</definedName>
    <definedName name="_xlnm.Print_Area" localSheetId="2">Assumptions_SC!$B$1:$N$30</definedName>
    <definedName name="_xlnm.Print_Area" localSheetId="4">Calcs_TA!$B$1:$Q$43</definedName>
    <definedName name="_xlnm.Print_Area" localSheetId="11">Checks_BO!$B$1:$M$42</definedName>
    <definedName name="_xlnm.Print_Area" localSheetId="1">Contents!$B$1:$Q$21</definedName>
    <definedName name="_xlnm.Print_Area" localSheetId="0">Cover!$B$1:$N$131</definedName>
    <definedName name="_xlnm.Print_Area" localSheetId="7">Dashboard_P_MS!$B$1:$BX$44</definedName>
    <definedName name="_xlnm.Print_Area" localSheetId="3">Key_Assumptions_BA!$B$1:$Q$5</definedName>
    <definedName name="_xlnm.Print_Area" localSheetId="5">Outputs_SC!$B$1:$N$30</definedName>
    <definedName name="_xlnm.Print_Area" localSheetId="6">Outputs_TO!$B$1:$Q$33</definedName>
    <definedName name="_xlnm.Print_Area" localSheetId="8">Qn_Sol_BO!$B$1:$R$48</definedName>
    <definedName name="_xlnm.Print_Area" localSheetId="10">TS_LU!$B$1:$G$8</definedName>
    <definedName name="_xlnm.Print_Titles" localSheetId="4">Calcs_TA!$1:$7</definedName>
    <definedName name="_xlnm.Print_Titles" localSheetId="11">Checks_BO!$1:$6</definedName>
    <definedName name="_xlnm.Print_Titles" localSheetId="1">Contents!$1:$7</definedName>
    <definedName name="_xlnm.Print_Titles" localSheetId="3">Key_Assumptions_BA!$1:$5</definedName>
    <definedName name="_xlnm.Print_Titles" localSheetId="6">Outputs_TO!$1:$7</definedName>
    <definedName name="_xlnm.Print_Titles" localSheetId="8">Qn_Sol_BO!$1:$5</definedName>
    <definedName name="_xlnm.Print_Titles" localSheetId="10">TS_LU!$1:$6</definedName>
    <definedName name="target_bal">Calcs_TA!$G$40</definedName>
    <definedName name="TBXBST" localSheetId="9" hidden="1">"|B|SC|B|"</definedName>
    <definedName name="TBXBST" localSheetId="2" hidden="1">"|B|SC|B|"</definedName>
    <definedName name="TBXBST" localSheetId="4" hidden="1">"|B|BA|B|"</definedName>
    <definedName name="TBXBST" localSheetId="11" hidden="1">"|B|BO|B|"</definedName>
    <definedName name="TBXBST" localSheetId="1" hidden="1">"|B|Contents|B|"</definedName>
    <definedName name="TBXBST" localSheetId="0" hidden="1">"|B|Cover|B|"</definedName>
    <definedName name="TBXBST" localSheetId="7" hidden="1">"|B|MS|B||P|"</definedName>
    <definedName name="TBXBST" localSheetId="3" hidden="1">"|B|BA|B|"</definedName>
    <definedName name="TBXBST" localSheetId="5" hidden="1">"|B|SC|B|"</definedName>
    <definedName name="TBXBST" localSheetId="6" hidden="1">"|B|BO|B|"</definedName>
    <definedName name="TBXBST" localSheetId="8" hidden="1">"|B|BO|B|"</definedName>
    <definedName name="TBXBST" localSheetId="10" hidden="1">"|B|LU|B|"</definedName>
    <definedName name="term">Key_Assumptions_BA!$L$20</definedName>
    <definedName name="TOC_Hdg_1" hidden="1">TS_LU!$B$7</definedName>
    <definedName name="TOC_Hdg_3" hidden="1">Checks_BO!$B$7</definedName>
    <definedName name="TOC_Hdg_5" hidden="1">Checks_BO!$B$26</definedName>
  </definedNames>
  <calcPr calcId="145621"/>
</workbook>
</file>

<file path=xl/calcChain.xml><?xml version="1.0" encoding="utf-8"?>
<calcChain xmlns="http://schemas.openxmlformats.org/spreadsheetml/2006/main">
  <c r="B26" i="19" l="1"/>
  <c r="I19" i="17" l="1"/>
  <c r="L19" i="17"/>
  <c r="I20" i="17"/>
  <c r="L20" i="17"/>
  <c r="N20" i="17"/>
  <c r="I21" i="17"/>
  <c r="L21" i="17"/>
  <c r="J8" i="18" s="1"/>
  <c r="I22" i="17"/>
  <c r="L22" i="17"/>
  <c r="CS28" i="23"/>
  <c r="AN27" i="23" s="1"/>
  <c r="CS22" i="23"/>
  <c r="B27" i="23" s="1"/>
  <c r="CS17" i="23"/>
  <c r="CS9" i="23"/>
  <c r="I75" i="21"/>
  <c r="I67" i="21"/>
  <c r="I59" i="21"/>
  <c r="I51" i="21"/>
  <c r="I39" i="21"/>
  <c r="I31" i="21"/>
  <c r="I23" i="21"/>
  <c r="I15" i="21"/>
  <c r="I19" i="6"/>
  <c r="I18" i="6"/>
  <c r="H17" i="6"/>
  <c r="H16" i="6"/>
  <c r="D15" i="6"/>
  <c r="H14" i="6"/>
  <c r="H13" i="6"/>
  <c r="H12" i="6"/>
  <c r="D11" i="6"/>
  <c r="H10" i="6"/>
  <c r="H9" i="6"/>
  <c r="D8" i="6"/>
  <c r="CS29" i="23"/>
  <c r="C59" i="18"/>
  <c r="B24" i="19"/>
  <c r="L24" i="17" l="1"/>
  <c r="AN7" i="23"/>
  <c r="B22" i="19"/>
  <c r="CS19" i="23" s="1"/>
  <c r="CS7" i="23" l="1"/>
  <c r="B7" i="23"/>
  <c r="CS14" i="23"/>
  <c r="Q7" i="21" l="1"/>
  <c r="D40" i="16" l="1"/>
  <c r="D39" i="16"/>
  <c r="D21" i="16"/>
  <c r="D20" i="16"/>
  <c r="J10" i="18" l="1"/>
  <c r="I32" i="21" l="1"/>
  <c r="I60" i="21"/>
  <c r="B18" i="19"/>
  <c r="CS12" i="23" s="1"/>
  <c r="B11" i="19"/>
  <c r="B12" i="19"/>
  <c r="B13" i="19"/>
  <c r="B8" i="19"/>
  <c r="B9" i="19"/>
  <c r="B10" i="19"/>
  <c r="B7" i="19"/>
  <c r="D17" i="18" l="1"/>
  <c r="D18" i="18"/>
  <c r="D19" i="18"/>
  <c r="D20" i="18"/>
  <c r="D34" i="18"/>
  <c r="B17" i="19" s="1"/>
  <c r="D35" i="18"/>
  <c r="D36" i="18"/>
  <c r="D42" i="18"/>
  <c r="B19" i="19" s="1"/>
  <c r="D47" i="18"/>
  <c r="C18" i="14"/>
  <c r="C19" i="14" s="1"/>
  <c r="C20" i="14" s="1"/>
  <c r="C21" i="14" s="1"/>
  <c r="C22" i="14" s="1"/>
  <c r="C23" i="14" s="1"/>
  <c r="C24" i="14" s="1"/>
  <c r="C25" i="14" s="1"/>
  <c r="C26" i="14" s="1"/>
  <c r="C27" i="14" s="1"/>
  <c r="C28" i="14" s="1"/>
  <c r="C29" i="14" s="1"/>
  <c r="C30" i="14" s="1"/>
  <c r="C31" i="14" s="1"/>
  <c r="C32" i="14" s="1"/>
  <c r="C33" i="14" s="1"/>
  <c r="C34" i="14" s="1"/>
  <c r="C35" i="14" s="1"/>
  <c r="C36" i="14" s="1"/>
  <c r="C37" i="14" s="1"/>
  <c r="C38" i="14" s="1"/>
  <c r="C39" i="14" s="1"/>
  <c r="C40" i="14" s="1"/>
  <c r="C41" i="14" s="1"/>
  <c r="C42" i="14" s="1"/>
  <c r="C43" i="14" s="1"/>
  <c r="C44" i="14" s="1"/>
  <c r="C45" i="14" s="1"/>
  <c r="C46" i="14" s="1"/>
  <c r="C47" i="14" s="1"/>
  <c r="C48" i="14" s="1"/>
  <c r="C49" i="14" s="1"/>
  <c r="C50" i="14" s="1"/>
  <c r="C51" i="14" s="1"/>
  <c r="C52" i="14" s="1"/>
  <c r="C53" i="14" s="1"/>
  <c r="C54" i="14" s="1"/>
  <c r="C55" i="14" s="1"/>
  <c r="C56" i="14" s="1"/>
  <c r="C57" i="14" s="1"/>
  <c r="C58" i="14" s="1"/>
  <c r="C59" i="14" s="1"/>
  <c r="C60" i="14" s="1"/>
  <c r="C61" i="14" s="1"/>
  <c r="C62" i="14" s="1"/>
  <c r="C63" i="14" s="1"/>
  <c r="C64" i="14" s="1"/>
  <c r="C65" i="14" s="1"/>
  <c r="C66" i="14" s="1"/>
  <c r="C67" i="14" s="1"/>
  <c r="C68" i="14" s="1"/>
  <c r="C69" i="14" s="1"/>
  <c r="C70" i="14" s="1"/>
  <c r="C71" i="14" s="1"/>
  <c r="C72" i="14" s="1"/>
  <c r="C73" i="14" s="1"/>
  <c r="C74" i="14" s="1"/>
  <c r="C75" i="14" s="1"/>
  <c r="C76" i="14" s="1"/>
  <c r="C77" i="14" s="1"/>
  <c r="C78" i="14" s="1"/>
  <c r="C79" i="14" s="1"/>
  <c r="C80" i="14" s="1"/>
  <c r="C81" i="14" s="1"/>
  <c r="C82" i="14" s="1"/>
  <c r="C83" i="14" s="1"/>
  <c r="C84" i="14" s="1"/>
  <c r="C85" i="14" s="1"/>
  <c r="C86" i="14" s="1"/>
  <c r="C87" i="14" s="1"/>
  <c r="C88" i="14" s="1"/>
  <c r="H33" i="18"/>
  <c r="D32" i="16"/>
  <c r="D13" i="16"/>
  <c r="CS13" i="23" l="1"/>
  <c r="CS20" i="23"/>
  <c r="CS11" i="23"/>
  <c r="J24" i="18"/>
  <c r="J34" i="18"/>
  <c r="H30" i="18"/>
  <c r="K10" i="18"/>
  <c r="J9" i="19"/>
  <c r="J52" i="18"/>
  <c r="J41" i="18"/>
  <c r="L10" i="18"/>
  <c r="L9" i="19" s="1"/>
  <c r="J18" i="19" l="1"/>
  <c r="L9" i="18"/>
  <c r="M8" i="18" s="1"/>
  <c r="K9" i="18"/>
  <c r="L8" i="18" s="1"/>
  <c r="J7" i="19"/>
  <c r="J9" i="18"/>
  <c r="K8" i="18" s="1"/>
  <c r="J17" i="19"/>
  <c r="J45" i="18"/>
  <c r="J46" i="18" s="1"/>
  <c r="J47" i="18" s="1"/>
  <c r="K41" i="18"/>
  <c r="K52" i="18"/>
  <c r="K9" i="19"/>
  <c r="M10" i="18"/>
  <c r="M9" i="19" s="1"/>
  <c r="L41" i="18"/>
  <c r="L18" i="19" s="1"/>
  <c r="L52" i="18"/>
  <c r="M7" i="19" l="1"/>
  <c r="M9" i="18"/>
  <c r="N8" i="18" s="1"/>
  <c r="J12" i="18"/>
  <c r="J19" i="18" s="1"/>
  <c r="K7" i="19"/>
  <c r="K18" i="19"/>
  <c r="J17" i="18"/>
  <c r="J11" i="18"/>
  <c r="J10" i="19" s="1"/>
  <c r="J8" i="19"/>
  <c r="J6" i="19" s="1"/>
  <c r="CU17" i="23" s="1"/>
  <c r="L8" i="19"/>
  <c r="L6" i="19" s="1"/>
  <c r="CW17" i="23" s="1"/>
  <c r="L12" i="18"/>
  <c r="L11" i="18"/>
  <c r="L10" i="19" s="1"/>
  <c r="K8" i="19"/>
  <c r="K6" i="19" s="1"/>
  <c r="CV17" i="23" s="1"/>
  <c r="K12" i="18"/>
  <c r="K19" i="18" s="1"/>
  <c r="K11" i="18"/>
  <c r="K10" i="19" s="1"/>
  <c r="K17" i="18"/>
  <c r="L7" i="19"/>
  <c r="L17" i="18"/>
  <c r="N10" i="18"/>
  <c r="M52" i="18"/>
  <c r="M41" i="18"/>
  <c r="M18" i="19" s="1"/>
  <c r="N9" i="19" l="1"/>
  <c r="N9" i="18"/>
  <c r="O8" i="18" s="1"/>
  <c r="N7" i="19"/>
  <c r="J11" i="19"/>
  <c r="J13" i="18"/>
  <c r="J14" i="18" s="1"/>
  <c r="J18" i="18"/>
  <c r="M8" i="19"/>
  <c r="M6" i="19" s="1"/>
  <c r="CX17" i="23" s="1"/>
  <c r="M12" i="18"/>
  <c r="M11" i="18"/>
  <c r="M10" i="19" s="1"/>
  <c r="K13" i="18"/>
  <c r="K18" i="18"/>
  <c r="K11" i="19"/>
  <c r="L19" i="18"/>
  <c r="L11" i="19"/>
  <c r="O10" i="18"/>
  <c r="N41" i="18"/>
  <c r="N18" i="19" s="1"/>
  <c r="N52" i="18"/>
  <c r="M17" i="18"/>
  <c r="L13" i="18"/>
  <c r="L18" i="18"/>
  <c r="O9" i="19" l="1"/>
  <c r="O9" i="18"/>
  <c r="P8" i="18" s="1"/>
  <c r="K14" i="18"/>
  <c r="K49" i="18" s="1"/>
  <c r="O7" i="19"/>
  <c r="L14" i="18"/>
  <c r="J21" i="18"/>
  <c r="J29" i="18"/>
  <c r="J30" i="18" s="1"/>
  <c r="J42" i="18"/>
  <c r="J43" i="18" s="1"/>
  <c r="J13" i="19"/>
  <c r="J20" i="18"/>
  <c r="J12" i="19"/>
  <c r="L12" i="19"/>
  <c r="N8" i="19"/>
  <c r="N6" i="19" s="1"/>
  <c r="CY17" i="23" s="1"/>
  <c r="N12" i="18"/>
  <c r="N11" i="18"/>
  <c r="N10" i="19" s="1"/>
  <c r="K12" i="19"/>
  <c r="K21" i="18"/>
  <c r="K20" i="18"/>
  <c r="M19" i="18"/>
  <c r="M11" i="19"/>
  <c r="N17" i="18"/>
  <c r="J49" i="18"/>
  <c r="M18" i="18"/>
  <c r="M13" i="18"/>
  <c r="M14" i="18" s="1"/>
  <c r="L20" i="18"/>
  <c r="L21" i="18"/>
  <c r="O41" i="18"/>
  <c r="O18" i="19" s="1"/>
  <c r="O52" i="18"/>
  <c r="P10" i="18"/>
  <c r="P7" i="19" l="1"/>
  <c r="P9" i="19"/>
  <c r="P9" i="18"/>
  <c r="Q8" i="18" s="1"/>
  <c r="J19" i="19"/>
  <c r="CU20" i="23" s="1"/>
  <c r="CU24" i="23" s="1"/>
  <c r="M12" i="19"/>
  <c r="O8" i="19"/>
  <c r="O6" i="19" s="1"/>
  <c r="CZ17" i="23" s="1"/>
  <c r="O12" i="18"/>
  <c r="O11" i="18"/>
  <c r="O10" i="19" s="1"/>
  <c r="K13" i="19"/>
  <c r="L49" i="18"/>
  <c r="L13" i="19"/>
  <c r="N19" i="18"/>
  <c r="N11" i="19"/>
  <c r="Q10" i="18"/>
  <c r="P41" i="18"/>
  <c r="P18" i="19" s="1"/>
  <c r="P52" i="18"/>
  <c r="M20" i="18"/>
  <c r="M21" i="18"/>
  <c r="N18" i="18"/>
  <c r="N13" i="18"/>
  <c r="N14" i="18" s="1"/>
  <c r="O17" i="18"/>
  <c r="J25" i="18"/>
  <c r="J26" i="18" s="1"/>
  <c r="K24" i="18" s="1"/>
  <c r="D17" i="14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Q9" i="19" l="1"/>
  <c r="Q9" i="18"/>
  <c r="R8" i="18" s="1"/>
  <c r="J20" i="19"/>
  <c r="J35" i="18"/>
  <c r="J36" i="18" s="1"/>
  <c r="N12" i="19"/>
  <c r="P8" i="19"/>
  <c r="P6" i="19" s="1"/>
  <c r="DA17" i="23" s="1"/>
  <c r="P12" i="18"/>
  <c r="P11" i="18"/>
  <c r="P10" i="19" s="1"/>
  <c r="D60" i="14"/>
  <c r="O19" i="18"/>
  <c r="O11" i="19"/>
  <c r="M49" i="18"/>
  <c r="M13" i="19"/>
  <c r="O13" i="18"/>
  <c r="O14" i="18" s="1"/>
  <c r="O18" i="18"/>
  <c r="R10" i="18"/>
  <c r="Q41" i="18"/>
  <c r="Q18" i="19" s="1"/>
  <c r="Q52" i="18"/>
  <c r="N20" i="18"/>
  <c r="N21" i="18"/>
  <c r="K45" i="18"/>
  <c r="K46" i="18" s="1"/>
  <c r="K47" i="18" s="1"/>
  <c r="K29" i="18"/>
  <c r="Q7" i="19"/>
  <c r="P17" i="18"/>
  <c r="K34" i="18" l="1"/>
  <c r="K17" i="19" s="1"/>
  <c r="J22" i="19"/>
  <c r="CU19" i="23" s="1"/>
  <c r="CU23" i="23" s="1"/>
  <c r="CU29" i="23" s="1"/>
  <c r="R9" i="19"/>
  <c r="R9" i="18"/>
  <c r="S8" i="18" s="1"/>
  <c r="R7" i="19"/>
  <c r="O12" i="19"/>
  <c r="Q8" i="19"/>
  <c r="Q6" i="19" s="1"/>
  <c r="DB17" i="23" s="1"/>
  <c r="Q12" i="18"/>
  <c r="Q11" i="18"/>
  <c r="Q10" i="19" s="1"/>
  <c r="D61" i="14"/>
  <c r="N49" i="18"/>
  <c r="N13" i="19"/>
  <c r="P19" i="18"/>
  <c r="P11" i="19"/>
  <c r="Q17" i="18"/>
  <c r="P13" i="18"/>
  <c r="P14" i="18" s="1"/>
  <c r="P18" i="18"/>
  <c r="K30" i="18"/>
  <c r="K25" i="18" s="1"/>
  <c r="K26" i="18" s="1"/>
  <c r="L24" i="18" s="1"/>
  <c r="L29" i="18" s="1"/>
  <c r="L30" i="18" s="1"/>
  <c r="S10" i="18"/>
  <c r="R41" i="18"/>
  <c r="R18" i="19" s="1"/>
  <c r="R52" i="18"/>
  <c r="O20" i="18"/>
  <c r="O21" i="18"/>
  <c r="K42" i="18" l="1"/>
  <c r="K43" i="18" s="1"/>
  <c r="K20" i="19" s="1"/>
  <c r="S9" i="19"/>
  <c r="S9" i="18"/>
  <c r="T8" i="18" s="1"/>
  <c r="S7" i="19"/>
  <c r="P12" i="19"/>
  <c r="R8" i="19"/>
  <c r="R6" i="19" s="1"/>
  <c r="DC17" i="23" s="1"/>
  <c r="R12" i="18"/>
  <c r="R11" i="18"/>
  <c r="R10" i="19" s="1"/>
  <c r="D62" i="14"/>
  <c r="O49" i="18"/>
  <c r="O13" i="19"/>
  <c r="Q19" i="18"/>
  <c r="Q11" i="19"/>
  <c r="R17" i="18"/>
  <c r="L45" i="18"/>
  <c r="L46" i="18" s="1"/>
  <c r="L47" i="18" s="1"/>
  <c r="P20" i="18"/>
  <c r="P21" i="18"/>
  <c r="T10" i="18"/>
  <c r="S52" i="18"/>
  <c r="S41" i="18"/>
  <c r="S18" i="19" s="1"/>
  <c r="Q13" i="18"/>
  <c r="Q14" i="18" s="1"/>
  <c r="Q18" i="18"/>
  <c r="K19" i="19" l="1"/>
  <c r="CV20" i="23" s="1"/>
  <c r="CV24" i="23" s="1"/>
  <c r="T7" i="19"/>
  <c r="T9" i="19"/>
  <c r="T9" i="18"/>
  <c r="U8" i="18" s="1"/>
  <c r="Q12" i="19"/>
  <c r="S8" i="19"/>
  <c r="S6" i="19" s="1"/>
  <c r="DD17" i="23" s="1"/>
  <c r="S12" i="18"/>
  <c r="S11" i="18"/>
  <c r="S10" i="19" s="1"/>
  <c r="D63" i="14"/>
  <c r="P49" i="18"/>
  <c r="P13" i="19"/>
  <c r="R19" i="18"/>
  <c r="R11" i="19"/>
  <c r="Q20" i="18"/>
  <c r="Q21" i="18"/>
  <c r="U10" i="18"/>
  <c r="T41" i="18"/>
  <c r="T18" i="19" s="1"/>
  <c r="T52" i="18"/>
  <c r="S17" i="18"/>
  <c r="L25" i="18"/>
  <c r="L26" i="18" s="1"/>
  <c r="M24" i="18" s="1"/>
  <c r="M29" i="18" s="1"/>
  <c r="M30" i="18" s="1"/>
  <c r="R18" i="18"/>
  <c r="R13" i="18"/>
  <c r="R14" i="18" s="1"/>
  <c r="K35" i="18"/>
  <c r="K36" i="18" s="1"/>
  <c r="L34" i="18" l="1"/>
  <c r="L42" i="18" s="1"/>
  <c r="L43" i="18" s="1"/>
  <c r="K22" i="19"/>
  <c r="CV19" i="23" s="1"/>
  <c r="CV23" i="23" s="1"/>
  <c r="CV29" i="23" s="1"/>
  <c r="U9" i="19"/>
  <c r="U9" i="18"/>
  <c r="V8" i="18" s="1"/>
  <c r="U7" i="19"/>
  <c r="R12" i="19"/>
  <c r="T8" i="19"/>
  <c r="T6" i="19" s="1"/>
  <c r="DE17" i="23" s="1"/>
  <c r="T12" i="18"/>
  <c r="T11" i="18"/>
  <c r="T10" i="19" s="1"/>
  <c r="D64" i="14"/>
  <c r="S19" i="18"/>
  <c r="S11" i="19"/>
  <c r="Q49" i="18"/>
  <c r="Q13" i="19"/>
  <c r="S18" i="18"/>
  <c r="S13" i="18"/>
  <c r="S14" i="18" s="1"/>
  <c r="R20" i="18"/>
  <c r="R21" i="18"/>
  <c r="T17" i="18"/>
  <c r="V10" i="18"/>
  <c r="U41" i="18"/>
  <c r="U18" i="19" s="1"/>
  <c r="U52" i="18"/>
  <c r="M45" i="18"/>
  <c r="M46" i="18" s="1"/>
  <c r="M47" i="18" s="1"/>
  <c r="L17" i="19" l="1"/>
  <c r="V9" i="19"/>
  <c r="V9" i="18"/>
  <c r="W8" i="18" s="1"/>
  <c r="L19" i="19"/>
  <c r="CW20" i="23" s="1"/>
  <c r="CW24" i="23" s="1"/>
  <c r="S12" i="19"/>
  <c r="U8" i="19"/>
  <c r="U6" i="19" s="1"/>
  <c r="DF17" i="23" s="1"/>
  <c r="U11" i="18"/>
  <c r="U10" i="19" s="1"/>
  <c r="U12" i="18"/>
  <c r="D65" i="14"/>
  <c r="D66" i="14" s="1"/>
  <c r="D67" i="14" s="1"/>
  <c r="D68" i="14" s="1"/>
  <c r="D69" i="14" s="1"/>
  <c r="R49" i="18"/>
  <c r="R13" i="19"/>
  <c r="T19" i="18"/>
  <c r="T11" i="19"/>
  <c r="M25" i="18"/>
  <c r="M26" i="18" s="1"/>
  <c r="N24" i="18" s="1"/>
  <c r="N29" i="18" s="1"/>
  <c r="N30" i="18" s="1"/>
  <c r="W10" i="18"/>
  <c r="V41" i="18"/>
  <c r="V18" i="19" s="1"/>
  <c r="V7" i="19"/>
  <c r="U17" i="18"/>
  <c r="T13" i="18"/>
  <c r="T14" i="18" s="1"/>
  <c r="T18" i="18"/>
  <c r="S20" i="18"/>
  <c r="S21" i="18"/>
  <c r="D70" i="14" l="1"/>
  <c r="D71" i="14" s="1"/>
  <c r="D72" i="14" s="1"/>
  <c r="D73" i="14" s="1"/>
  <c r="D74" i="14" s="1"/>
  <c r="D75" i="14" s="1"/>
  <c r="D76" i="14" s="1"/>
  <c r="D77" i="14" s="1"/>
  <c r="D78" i="14" s="1"/>
  <c r="D79" i="14" s="1"/>
  <c r="D80" i="14" s="1"/>
  <c r="CU9" i="23"/>
  <c r="W9" i="19"/>
  <c r="W9" i="18"/>
  <c r="X8" i="18" s="1"/>
  <c r="L20" i="19"/>
  <c r="L35" i="18"/>
  <c r="L36" i="18" s="1"/>
  <c r="T12" i="19"/>
  <c r="V8" i="19"/>
  <c r="V6" i="19" s="1"/>
  <c r="DG17" i="23" s="1"/>
  <c r="V12" i="18"/>
  <c r="V11" i="18"/>
  <c r="V10" i="19" s="1"/>
  <c r="S49" i="18"/>
  <c r="S13" i="19"/>
  <c r="U19" i="18"/>
  <c r="U11" i="19"/>
  <c r="T20" i="18"/>
  <c r="T21" i="18"/>
  <c r="N45" i="18"/>
  <c r="N46" i="18" s="1"/>
  <c r="N47" i="18" s="1"/>
  <c r="X10" i="18"/>
  <c r="W41" i="18"/>
  <c r="W18" i="19" s="1"/>
  <c r="W7" i="19"/>
  <c r="V17" i="18"/>
  <c r="U13" i="18"/>
  <c r="U14" i="18" s="1"/>
  <c r="U18" i="18"/>
  <c r="M34" i="18" l="1"/>
  <c r="M42" i="18" s="1"/>
  <c r="M43" i="18" s="1"/>
  <c r="L22" i="19"/>
  <c r="CW19" i="23" s="1"/>
  <c r="CW23" i="23" s="1"/>
  <c r="CW29" i="23" s="1"/>
  <c r="D81" i="14"/>
  <c r="CV9" i="23"/>
  <c r="X9" i="19"/>
  <c r="X9" i="18"/>
  <c r="Y8" i="18" s="1"/>
  <c r="X7" i="19"/>
  <c r="U12" i="19"/>
  <c r="W8" i="19"/>
  <c r="W6" i="19" s="1"/>
  <c r="DH17" i="23" s="1"/>
  <c r="W12" i="18"/>
  <c r="W11" i="18"/>
  <c r="W10" i="19" s="1"/>
  <c r="V19" i="18"/>
  <c r="V11" i="19"/>
  <c r="T49" i="18"/>
  <c r="T13" i="19"/>
  <c r="Y10" i="18"/>
  <c r="X41" i="18"/>
  <c r="X18" i="19" s="1"/>
  <c r="W17" i="18"/>
  <c r="V18" i="18"/>
  <c r="V13" i="18"/>
  <c r="V14" i="18" s="1"/>
  <c r="N25" i="18"/>
  <c r="N26" i="18" s="1"/>
  <c r="O24" i="18" s="1"/>
  <c r="O29" i="18" s="1"/>
  <c r="O30" i="18" s="1"/>
  <c r="U20" i="18"/>
  <c r="U21" i="18"/>
  <c r="M17" i="19" l="1"/>
  <c r="D82" i="14"/>
  <c r="CW9" i="23"/>
  <c r="Y7" i="19"/>
  <c r="Y9" i="19"/>
  <c r="Y9" i="18"/>
  <c r="Z8" i="18" s="1"/>
  <c r="M19" i="19"/>
  <c r="CX20" i="23" s="1"/>
  <c r="CX24" i="23" s="1"/>
  <c r="V12" i="19"/>
  <c r="X8" i="19"/>
  <c r="X6" i="19" s="1"/>
  <c r="DI17" i="23" s="1"/>
  <c r="X12" i="18"/>
  <c r="X11" i="18"/>
  <c r="X10" i="19" s="1"/>
  <c r="W19" i="18"/>
  <c r="W11" i="19"/>
  <c r="U49" i="18"/>
  <c r="U13" i="19"/>
  <c r="O25" i="18"/>
  <c r="O26" i="18" s="1"/>
  <c r="P24" i="18" s="1"/>
  <c r="P29" i="18" s="1"/>
  <c r="P30" i="18" s="1"/>
  <c r="O45" i="18"/>
  <c r="O46" i="18" s="1"/>
  <c r="O47" i="18" s="1"/>
  <c r="X17" i="18"/>
  <c r="V20" i="18"/>
  <c r="V21" i="18"/>
  <c r="Z10" i="18"/>
  <c r="Y41" i="18"/>
  <c r="Y18" i="19" s="1"/>
  <c r="W13" i="18"/>
  <c r="W14" i="18" s="1"/>
  <c r="W18" i="18"/>
  <c r="D83" i="14" l="1"/>
  <c r="CX9" i="23"/>
  <c r="Z7" i="19"/>
  <c r="Z9" i="19"/>
  <c r="Z9" i="18"/>
  <c r="AA8" i="18" s="1"/>
  <c r="M20" i="19"/>
  <c r="M35" i="18"/>
  <c r="M36" i="18" s="1"/>
  <c r="W12" i="19"/>
  <c r="Y8" i="19"/>
  <c r="Y6" i="19" s="1"/>
  <c r="DJ17" i="23" s="1"/>
  <c r="Y11" i="18"/>
  <c r="Y10" i="19" s="1"/>
  <c r="Y12" i="18"/>
  <c r="V49" i="18"/>
  <c r="V13" i="19"/>
  <c r="X19" i="18"/>
  <c r="X11" i="19"/>
  <c r="P45" i="18"/>
  <c r="P46" i="18" s="1"/>
  <c r="P47" i="18" s="1"/>
  <c r="P25" i="18"/>
  <c r="P26" i="18" s="1"/>
  <c r="Q24" i="18" s="1"/>
  <c r="Q29" i="18" s="1"/>
  <c r="Q30" i="18" s="1"/>
  <c r="Y17" i="18"/>
  <c r="W20" i="18"/>
  <c r="W21" i="18"/>
  <c r="Z41" i="18"/>
  <c r="Z18" i="19" s="1"/>
  <c r="AA10" i="18"/>
  <c r="X18" i="18"/>
  <c r="X13" i="18"/>
  <c r="X14" i="18" s="1"/>
  <c r="N34" i="18" l="1"/>
  <c r="N42" i="18" s="1"/>
  <c r="N43" i="18" s="1"/>
  <c r="M22" i="19"/>
  <c r="CX19" i="23" s="1"/>
  <c r="CX23" i="23" s="1"/>
  <c r="CX29" i="23" s="1"/>
  <c r="D84" i="14"/>
  <c r="CY9" i="23"/>
  <c r="AA9" i="19"/>
  <c r="AA9" i="18"/>
  <c r="AB8" i="18" s="1"/>
  <c r="AA7" i="19"/>
  <c r="X12" i="19"/>
  <c r="Z8" i="19"/>
  <c r="Z6" i="19" s="1"/>
  <c r="DK17" i="23" s="1"/>
  <c r="Z12" i="18"/>
  <c r="Z11" i="18"/>
  <c r="Z10" i="19" s="1"/>
  <c r="W49" i="18"/>
  <c r="W13" i="19"/>
  <c r="Y19" i="18"/>
  <c r="Y11" i="19"/>
  <c r="Q25" i="18"/>
  <c r="Q26" i="18" s="1"/>
  <c r="R24" i="18" s="1"/>
  <c r="R29" i="18" s="1"/>
  <c r="R30" i="18" s="1"/>
  <c r="Q45" i="18"/>
  <c r="Q46" i="18" s="1"/>
  <c r="Q47" i="18" s="1"/>
  <c r="Z17" i="18"/>
  <c r="X20" i="18"/>
  <c r="X21" i="18"/>
  <c r="AB10" i="18"/>
  <c r="AA41" i="18"/>
  <c r="AA18" i="19" s="1"/>
  <c r="Y13" i="18"/>
  <c r="Y14" i="18" s="1"/>
  <c r="Y18" i="18"/>
  <c r="N17" i="19" l="1"/>
  <c r="D85" i="14"/>
  <c r="D86" i="14" s="1"/>
  <c r="D87" i="14" s="1"/>
  <c r="D88" i="14" s="1"/>
  <c r="CZ9" i="23"/>
  <c r="AB9" i="19"/>
  <c r="AB9" i="18"/>
  <c r="AC8" i="18" s="1"/>
  <c r="AB7" i="19"/>
  <c r="N19" i="19"/>
  <c r="CY20" i="23" s="1"/>
  <c r="CY24" i="23" s="1"/>
  <c r="Y12" i="19"/>
  <c r="AA8" i="19"/>
  <c r="AA6" i="19" s="1"/>
  <c r="DL17" i="23" s="1"/>
  <c r="AA12" i="18"/>
  <c r="AA11" i="18"/>
  <c r="AA10" i="19" s="1"/>
  <c r="Z19" i="18"/>
  <c r="Z11" i="19"/>
  <c r="X49" i="18"/>
  <c r="X13" i="19"/>
  <c r="AA17" i="18"/>
  <c r="R25" i="18"/>
  <c r="R26" i="18" s="1"/>
  <c r="S24" i="18" s="1"/>
  <c r="S29" i="18" s="1"/>
  <c r="S30" i="18" s="1"/>
  <c r="R45" i="18"/>
  <c r="R46" i="18" s="1"/>
  <c r="R47" i="18" s="1"/>
  <c r="Z18" i="18"/>
  <c r="Z13" i="18"/>
  <c r="Z14" i="18" s="1"/>
  <c r="AC10" i="18"/>
  <c r="AB41" i="18"/>
  <c r="AB18" i="19" s="1"/>
  <c r="Y20" i="18"/>
  <c r="Y21" i="18"/>
  <c r="AC7" i="19" l="1"/>
  <c r="AC9" i="19"/>
  <c r="AC9" i="18"/>
  <c r="AD8" i="18" s="1"/>
  <c r="N20" i="19"/>
  <c r="N35" i="18"/>
  <c r="N36" i="18" s="1"/>
  <c r="Z12" i="19"/>
  <c r="AB8" i="19"/>
  <c r="AB6" i="19" s="1"/>
  <c r="DM17" i="23" s="1"/>
  <c r="AB12" i="18"/>
  <c r="AB11" i="18"/>
  <c r="AB10" i="19" s="1"/>
  <c r="AA19" i="18"/>
  <c r="AA11" i="19"/>
  <c r="Y49" i="18"/>
  <c r="Y13" i="19"/>
  <c r="S25" i="18"/>
  <c r="S26" i="18" s="1"/>
  <c r="T24" i="18" s="1"/>
  <c r="T29" i="18" s="1"/>
  <c r="T30" i="18" s="1"/>
  <c r="S45" i="18"/>
  <c r="S46" i="18" s="1"/>
  <c r="S47" i="18" s="1"/>
  <c r="AB17" i="18"/>
  <c r="AD10" i="18"/>
  <c r="AC41" i="18"/>
  <c r="AC18" i="19" s="1"/>
  <c r="Z20" i="18"/>
  <c r="Z21" i="18"/>
  <c r="AA13" i="18"/>
  <c r="AA14" i="18" s="1"/>
  <c r="AA18" i="18"/>
  <c r="O34" i="18" l="1"/>
  <c r="O42" i="18" s="1"/>
  <c r="O43" i="18" s="1"/>
  <c r="N22" i="19"/>
  <c r="CY19" i="23" s="1"/>
  <c r="CY23" i="23" s="1"/>
  <c r="CY29" i="23" s="1"/>
  <c r="AD9" i="19"/>
  <c r="AD9" i="18"/>
  <c r="AE8" i="18" s="1"/>
  <c r="AA12" i="19"/>
  <c r="AC8" i="19"/>
  <c r="AC6" i="19" s="1"/>
  <c r="DN17" i="23" s="1"/>
  <c r="AC12" i="18"/>
  <c r="AC11" i="18"/>
  <c r="AC10" i="19" s="1"/>
  <c r="Z49" i="18"/>
  <c r="Z13" i="19"/>
  <c r="AB19" i="18"/>
  <c r="AB11" i="19"/>
  <c r="T25" i="18"/>
  <c r="T26" i="18" s="1"/>
  <c r="U24" i="18" s="1"/>
  <c r="U29" i="18" s="1"/>
  <c r="U30" i="18" s="1"/>
  <c r="T45" i="18"/>
  <c r="T46" i="18" s="1"/>
  <c r="T47" i="18" s="1"/>
  <c r="AA20" i="18"/>
  <c r="AA21" i="18"/>
  <c r="AE10" i="18"/>
  <c r="AD41" i="18"/>
  <c r="AD18" i="19" s="1"/>
  <c r="AD7" i="19"/>
  <c r="AC17" i="18"/>
  <c r="AB13" i="18"/>
  <c r="AB14" i="18" s="1"/>
  <c r="AB18" i="18"/>
  <c r="O17" i="19" l="1"/>
  <c r="AE9" i="19"/>
  <c r="AE9" i="18"/>
  <c r="AF8" i="18" s="1"/>
  <c r="O19" i="19"/>
  <c r="CZ20" i="23" s="1"/>
  <c r="CZ24" i="23" s="1"/>
  <c r="AB12" i="19"/>
  <c r="AD8" i="19"/>
  <c r="AD6" i="19" s="1"/>
  <c r="DO17" i="23" s="1"/>
  <c r="AD12" i="18"/>
  <c r="AD11" i="18"/>
  <c r="AD10" i="19" s="1"/>
  <c r="AC19" i="18"/>
  <c r="AC11" i="19"/>
  <c r="AA49" i="18"/>
  <c r="AA13" i="19"/>
  <c r="U45" i="18"/>
  <c r="U46" i="18" s="1"/>
  <c r="U47" i="18" s="1"/>
  <c r="U25" i="18"/>
  <c r="U26" i="18" s="1"/>
  <c r="V24" i="18" s="1"/>
  <c r="V29" i="18" s="1"/>
  <c r="V30" i="18" s="1"/>
  <c r="AF10" i="18"/>
  <c r="AE41" i="18"/>
  <c r="AE18" i="19" s="1"/>
  <c r="AE7" i="19"/>
  <c r="AD17" i="18"/>
  <c r="AB20" i="18"/>
  <c r="AB21" i="18"/>
  <c r="AC13" i="18"/>
  <c r="AC14" i="18" s="1"/>
  <c r="AC18" i="18"/>
  <c r="AF9" i="19" l="1"/>
  <c r="AF9" i="18"/>
  <c r="AG8" i="18" s="1"/>
  <c r="AF7" i="19"/>
  <c r="O20" i="19"/>
  <c r="O35" i="18"/>
  <c r="O36" i="18" s="1"/>
  <c r="AC12" i="19"/>
  <c r="AE8" i="19"/>
  <c r="AE6" i="19" s="1"/>
  <c r="DP17" i="23" s="1"/>
  <c r="AE11" i="18"/>
  <c r="AE10" i="19" s="1"/>
  <c r="AE12" i="18"/>
  <c r="AD19" i="18"/>
  <c r="AD11" i="19"/>
  <c r="AB49" i="18"/>
  <c r="AB13" i="19"/>
  <c r="AD18" i="18"/>
  <c r="AD13" i="18"/>
  <c r="AD14" i="18" s="1"/>
  <c r="AC20" i="18"/>
  <c r="AC21" i="18"/>
  <c r="AG10" i="18"/>
  <c r="AF41" i="18"/>
  <c r="AF18" i="19" s="1"/>
  <c r="V25" i="18"/>
  <c r="V26" i="18" s="1"/>
  <c r="W24" i="18" s="1"/>
  <c r="W29" i="18" s="1"/>
  <c r="W30" i="18" s="1"/>
  <c r="V45" i="18"/>
  <c r="V46" i="18" s="1"/>
  <c r="V47" i="18" s="1"/>
  <c r="AE17" i="18"/>
  <c r="P34" i="18" l="1"/>
  <c r="P42" i="18" s="1"/>
  <c r="P43" i="18" s="1"/>
  <c r="O22" i="19"/>
  <c r="CZ19" i="23" s="1"/>
  <c r="CZ23" i="23" s="1"/>
  <c r="CZ29" i="23" s="1"/>
  <c r="AG9" i="19"/>
  <c r="AG9" i="18"/>
  <c r="AH8" i="18" s="1"/>
  <c r="AG7" i="19"/>
  <c r="AD12" i="19"/>
  <c r="AF8" i="19"/>
  <c r="AF6" i="19" s="1"/>
  <c r="DQ17" i="23" s="1"/>
  <c r="AF12" i="18"/>
  <c r="AF11" i="18"/>
  <c r="AF10" i="19" s="1"/>
  <c r="AC49" i="18"/>
  <c r="AC13" i="19"/>
  <c r="AE19" i="18"/>
  <c r="AE11" i="19"/>
  <c r="W25" i="18"/>
  <c r="W26" i="18" s="1"/>
  <c r="X24" i="18" s="1"/>
  <c r="X29" i="18" s="1"/>
  <c r="X30" i="18" s="1"/>
  <c r="W45" i="18"/>
  <c r="W46" i="18" s="1"/>
  <c r="W47" i="18" s="1"/>
  <c r="AF17" i="18"/>
  <c r="AE13" i="18"/>
  <c r="AE14" i="18" s="1"/>
  <c r="AE18" i="18"/>
  <c r="AD20" i="18"/>
  <c r="AD21" i="18"/>
  <c r="AH10" i="18"/>
  <c r="AG41" i="18"/>
  <c r="AG18" i="19" s="1"/>
  <c r="P17" i="19" l="1"/>
  <c r="AH7" i="19"/>
  <c r="AH9" i="19"/>
  <c r="AH9" i="18"/>
  <c r="AI8" i="18" s="1"/>
  <c r="P19" i="19"/>
  <c r="DA20" i="23" s="1"/>
  <c r="DA24" i="23" s="1"/>
  <c r="AE12" i="19"/>
  <c r="AG8" i="19"/>
  <c r="AG6" i="19" s="1"/>
  <c r="DR17" i="23" s="1"/>
  <c r="AG12" i="18"/>
  <c r="AG11" i="18"/>
  <c r="AG10" i="19" s="1"/>
  <c r="AD49" i="18"/>
  <c r="AD13" i="19"/>
  <c r="AF19" i="18"/>
  <c r="AF11" i="19"/>
  <c r="X45" i="18"/>
  <c r="X46" i="18" s="1"/>
  <c r="X47" i="18" s="1"/>
  <c r="X25" i="18"/>
  <c r="X26" i="18" s="1"/>
  <c r="Y24" i="18" s="1"/>
  <c r="Y29" i="18" s="1"/>
  <c r="Y30" i="18" s="1"/>
  <c r="AH41" i="18"/>
  <c r="AH18" i="19" s="1"/>
  <c r="AI10" i="18"/>
  <c r="AE20" i="18"/>
  <c r="AE21" i="18"/>
  <c r="AG17" i="18"/>
  <c r="AF18" i="18"/>
  <c r="AF13" i="18"/>
  <c r="AF14" i="18" s="1"/>
  <c r="AI9" i="19" l="1"/>
  <c r="AI9" i="18"/>
  <c r="AJ8" i="18" s="1"/>
  <c r="AI7" i="19"/>
  <c r="P20" i="19"/>
  <c r="P35" i="18"/>
  <c r="P36" i="18" s="1"/>
  <c r="AF12" i="19"/>
  <c r="AH8" i="19"/>
  <c r="AH6" i="19" s="1"/>
  <c r="DS17" i="23" s="1"/>
  <c r="AH12" i="18"/>
  <c r="AH11" i="18"/>
  <c r="AH10" i="19" s="1"/>
  <c r="AE49" i="18"/>
  <c r="AE13" i="19"/>
  <c r="AG19" i="18"/>
  <c r="AG11" i="19"/>
  <c r="Y25" i="18"/>
  <c r="Y26" i="18" s="1"/>
  <c r="Z24" i="18" s="1"/>
  <c r="Z29" i="18" s="1"/>
  <c r="Z30" i="18" s="1"/>
  <c r="Y45" i="18"/>
  <c r="Y46" i="18" s="1"/>
  <c r="Y47" i="18" s="1"/>
  <c r="AF20" i="18"/>
  <c r="AF21" i="18"/>
  <c r="AJ10" i="18"/>
  <c r="AI41" i="18"/>
  <c r="AI18" i="19" s="1"/>
  <c r="AG18" i="18"/>
  <c r="AG13" i="18"/>
  <c r="AG14" i="18" s="1"/>
  <c r="AH17" i="18"/>
  <c r="Q34" i="18" l="1"/>
  <c r="Q42" i="18" s="1"/>
  <c r="Q43" i="18" s="1"/>
  <c r="P22" i="19"/>
  <c r="DA19" i="23" s="1"/>
  <c r="DA23" i="23" s="1"/>
  <c r="DA29" i="23" s="1"/>
  <c r="AJ9" i="19"/>
  <c r="AJ9" i="18"/>
  <c r="AK8" i="18" s="1"/>
  <c r="AJ7" i="19"/>
  <c r="AG12" i="19"/>
  <c r="AI8" i="19"/>
  <c r="AI6" i="19" s="1"/>
  <c r="DT17" i="23" s="1"/>
  <c r="AI12" i="18"/>
  <c r="AI11" i="18"/>
  <c r="AI10" i="19" s="1"/>
  <c r="AF49" i="18"/>
  <c r="AF13" i="19"/>
  <c r="AH19" i="18"/>
  <c r="AH11" i="19"/>
  <c r="Z25" i="18"/>
  <c r="Z26" i="18" s="1"/>
  <c r="AA24" i="18" s="1"/>
  <c r="AA29" i="18" s="1"/>
  <c r="AA30" i="18" s="1"/>
  <c r="Z45" i="18"/>
  <c r="Z46" i="18" s="1"/>
  <c r="Z47" i="18" s="1"/>
  <c r="AK10" i="18"/>
  <c r="AJ41" i="18"/>
  <c r="AJ18" i="19" s="1"/>
  <c r="AI17" i="18"/>
  <c r="AG20" i="18"/>
  <c r="AG21" i="18"/>
  <c r="AH18" i="18"/>
  <c r="AH13" i="18"/>
  <c r="AH14" i="18" s="1"/>
  <c r="Q17" i="19" l="1"/>
  <c r="AK9" i="19"/>
  <c r="AK9" i="18"/>
  <c r="AL8" i="18" s="1"/>
  <c r="AK7" i="19"/>
  <c r="Q19" i="19"/>
  <c r="DB20" i="23" s="1"/>
  <c r="DB24" i="23" s="1"/>
  <c r="AH12" i="19"/>
  <c r="AJ8" i="19"/>
  <c r="AJ6" i="19" s="1"/>
  <c r="DU17" i="23" s="1"/>
  <c r="AJ12" i="18"/>
  <c r="AJ11" i="18"/>
  <c r="AJ10" i="19" s="1"/>
  <c r="AG49" i="18"/>
  <c r="AG13" i="19"/>
  <c r="AI19" i="18"/>
  <c r="AI11" i="19"/>
  <c r="AA25" i="18"/>
  <c r="AA26" i="18" s="1"/>
  <c r="AB24" i="18" s="1"/>
  <c r="AB29" i="18" s="1"/>
  <c r="AB30" i="18" s="1"/>
  <c r="AA45" i="18"/>
  <c r="AA46" i="18" s="1"/>
  <c r="AA47" i="18" s="1"/>
  <c r="AI13" i="18"/>
  <c r="AI14" i="18" s="1"/>
  <c r="AI18" i="18"/>
  <c r="AJ17" i="18"/>
  <c r="AH20" i="18"/>
  <c r="AH21" i="18"/>
  <c r="AL10" i="18"/>
  <c r="AK41" i="18"/>
  <c r="AK18" i="19" s="1"/>
  <c r="AL7" i="19" l="1"/>
  <c r="AL9" i="19"/>
  <c r="AL9" i="18"/>
  <c r="AM8" i="18" s="1"/>
  <c r="Q20" i="19"/>
  <c r="Q35" i="18"/>
  <c r="Q36" i="18" s="1"/>
  <c r="AI12" i="19"/>
  <c r="AK8" i="19"/>
  <c r="AK6" i="19" s="1"/>
  <c r="DV17" i="23" s="1"/>
  <c r="AK11" i="18"/>
  <c r="AK10" i="19" s="1"/>
  <c r="AK12" i="18"/>
  <c r="AH49" i="18"/>
  <c r="AH13" i="19"/>
  <c r="AJ19" i="18"/>
  <c r="AJ11" i="19"/>
  <c r="AB25" i="18"/>
  <c r="AB26" i="18" s="1"/>
  <c r="AC24" i="18" s="1"/>
  <c r="AC29" i="18" s="1"/>
  <c r="AC30" i="18" s="1"/>
  <c r="AB45" i="18"/>
  <c r="AB46" i="18" s="1"/>
  <c r="AB47" i="18" s="1"/>
  <c r="AK17" i="18"/>
  <c r="AJ13" i="18"/>
  <c r="AJ14" i="18" s="1"/>
  <c r="AJ18" i="18"/>
  <c r="AI20" i="18"/>
  <c r="AI21" i="18"/>
  <c r="AM10" i="18"/>
  <c r="AL41" i="18"/>
  <c r="AL18" i="19" s="1"/>
  <c r="R34" i="18" l="1"/>
  <c r="R42" i="18" s="1"/>
  <c r="R43" i="18" s="1"/>
  <c r="Q22" i="19"/>
  <c r="DB19" i="23" s="1"/>
  <c r="DB23" i="23" s="1"/>
  <c r="DB29" i="23" s="1"/>
  <c r="AM7" i="19"/>
  <c r="AM9" i="19"/>
  <c r="AM9" i="18"/>
  <c r="AN8" i="18" s="1"/>
  <c r="AJ12" i="19"/>
  <c r="AL8" i="19"/>
  <c r="AL6" i="19" s="1"/>
  <c r="DW17" i="23" s="1"/>
  <c r="AL12" i="18"/>
  <c r="AL11" i="18"/>
  <c r="AL10" i="19" s="1"/>
  <c r="AI49" i="18"/>
  <c r="AI13" i="19"/>
  <c r="AK19" i="18"/>
  <c r="AK11" i="19"/>
  <c r="AC25" i="18"/>
  <c r="AC26" i="18" s="1"/>
  <c r="AD24" i="18" s="1"/>
  <c r="AD29" i="18" s="1"/>
  <c r="AD30" i="18" s="1"/>
  <c r="AC45" i="18"/>
  <c r="AC46" i="18" s="1"/>
  <c r="AC47" i="18" s="1"/>
  <c r="AK18" i="18"/>
  <c r="AK13" i="18"/>
  <c r="AK14" i="18" s="1"/>
  <c r="AJ20" i="18"/>
  <c r="AJ21" i="18"/>
  <c r="AN10" i="18"/>
  <c r="AM41" i="18"/>
  <c r="AM18" i="19" s="1"/>
  <c r="AL17" i="18"/>
  <c r="R17" i="19" l="1"/>
  <c r="AN9" i="19"/>
  <c r="AN9" i="18"/>
  <c r="AO8" i="18" s="1"/>
  <c r="R19" i="19"/>
  <c r="DC20" i="23" s="1"/>
  <c r="DC24" i="23" s="1"/>
  <c r="R35" i="18"/>
  <c r="AK12" i="19"/>
  <c r="AM8" i="19"/>
  <c r="AM6" i="19" s="1"/>
  <c r="DX17" i="23" s="1"/>
  <c r="AM12" i="18"/>
  <c r="AM11" i="18"/>
  <c r="AM10" i="19" s="1"/>
  <c r="AJ49" i="18"/>
  <c r="AJ13" i="19"/>
  <c r="AL19" i="18"/>
  <c r="AL11" i="19"/>
  <c r="AD25" i="18"/>
  <c r="AD26" i="18" s="1"/>
  <c r="AE24" i="18" s="1"/>
  <c r="AE29" i="18" s="1"/>
  <c r="AE30" i="18" s="1"/>
  <c r="AD45" i="18"/>
  <c r="AD46" i="18" s="1"/>
  <c r="AD47" i="18" s="1"/>
  <c r="AK20" i="18"/>
  <c r="AK21" i="18"/>
  <c r="AM17" i="18"/>
  <c r="AN7" i="19"/>
  <c r="AO10" i="18"/>
  <c r="AN41" i="18"/>
  <c r="AN18" i="19" s="1"/>
  <c r="AL13" i="18"/>
  <c r="AL14" i="18" s="1"/>
  <c r="AL18" i="18"/>
  <c r="AO9" i="19" l="1"/>
  <c r="AO9" i="18"/>
  <c r="AP8" i="18" s="1"/>
  <c r="AO7" i="19"/>
  <c r="R20" i="19"/>
  <c r="AL12" i="19"/>
  <c r="AN8" i="19"/>
  <c r="AN6" i="19" s="1"/>
  <c r="DY17" i="23" s="1"/>
  <c r="AN12" i="18"/>
  <c r="AN11" i="18"/>
  <c r="AN10" i="19" s="1"/>
  <c r="AK49" i="18"/>
  <c r="AK13" i="19"/>
  <c r="AM19" i="18"/>
  <c r="AM11" i="19"/>
  <c r="AE45" i="18"/>
  <c r="AE46" i="18" s="1"/>
  <c r="AE47" i="18" s="1"/>
  <c r="AE25" i="18"/>
  <c r="AE26" i="18" s="1"/>
  <c r="AF24" i="18" s="1"/>
  <c r="AF29" i="18" s="1"/>
  <c r="AF30" i="18" s="1"/>
  <c r="AM13" i="18"/>
  <c r="AM14" i="18" s="1"/>
  <c r="AM18" i="18"/>
  <c r="R36" i="18"/>
  <c r="AL20" i="18"/>
  <c r="AL21" i="18"/>
  <c r="AN17" i="18"/>
  <c r="AP10" i="18"/>
  <c r="AO41" i="18"/>
  <c r="AO18" i="19" s="1"/>
  <c r="S34" i="18" l="1"/>
  <c r="S42" i="18" s="1"/>
  <c r="S43" i="18" s="1"/>
  <c r="R22" i="19"/>
  <c r="DC19" i="23" s="1"/>
  <c r="DC23" i="23" s="1"/>
  <c r="DC29" i="23" s="1"/>
  <c r="AP9" i="19"/>
  <c r="AP9" i="18"/>
  <c r="AQ8" i="18" s="1"/>
  <c r="AP7" i="19"/>
  <c r="AM12" i="19"/>
  <c r="AO8" i="19"/>
  <c r="AO6" i="19" s="1"/>
  <c r="DZ17" i="23" s="1"/>
  <c r="AO11" i="18"/>
  <c r="AO10" i="19" s="1"/>
  <c r="AO12" i="18"/>
  <c r="AN19" i="18"/>
  <c r="AN11" i="19"/>
  <c r="AL49" i="18"/>
  <c r="AL13" i="19"/>
  <c r="AF25" i="18"/>
  <c r="AF26" i="18" s="1"/>
  <c r="AG24" i="18" s="1"/>
  <c r="AG29" i="18" s="1"/>
  <c r="AG30" i="18" s="1"/>
  <c r="AF45" i="18"/>
  <c r="AF46" i="18" s="1"/>
  <c r="AF47" i="18" s="1"/>
  <c r="AN18" i="18"/>
  <c r="AN13" i="18"/>
  <c r="AN14" i="18" s="1"/>
  <c r="AM20" i="18"/>
  <c r="AM21" i="18"/>
  <c r="AP41" i="18"/>
  <c r="AP18" i="19" s="1"/>
  <c r="AQ10" i="18"/>
  <c r="AO17" i="18"/>
  <c r="S17" i="19" l="1"/>
  <c r="AQ9" i="19"/>
  <c r="AQ9" i="18"/>
  <c r="AR8" i="18" s="1"/>
  <c r="AQ7" i="19"/>
  <c r="S19" i="19"/>
  <c r="DD20" i="23" s="1"/>
  <c r="DD24" i="23" s="1"/>
  <c r="S35" i="18"/>
  <c r="AN12" i="19"/>
  <c r="AP8" i="19"/>
  <c r="AP6" i="19" s="1"/>
  <c r="EA17" i="23" s="1"/>
  <c r="AP12" i="18"/>
  <c r="AP11" i="18"/>
  <c r="AP10" i="19" s="1"/>
  <c r="AM49" i="18"/>
  <c r="AM13" i="19"/>
  <c r="AO19" i="18"/>
  <c r="AO11" i="19"/>
  <c r="AG25" i="18"/>
  <c r="AG26" i="18" s="1"/>
  <c r="AH24" i="18" s="1"/>
  <c r="AH29" i="18" s="1"/>
  <c r="AH30" i="18" s="1"/>
  <c r="AG45" i="18"/>
  <c r="AG46" i="18" s="1"/>
  <c r="AG47" i="18" s="1"/>
  <c r="AO13" i="18"/>
  <c r="AO14" i="18" s="1"/>
  <c r="AO18" i="18"/>
  <c r="AP17" i="18"/>
  <c r="AN20" i="18"/>
  <c r="AN21" i="18"/>
  <c r="AR10" i="18"/>
  <c r="AQ41" i="18"/>
  <c r="AQ18" i="19" s="1"/>
  <c r="AR7" i="19" l="1"/>
  <c r="AR9" i="19"/>
  <c r="AR9" i="18"/>
  <c r="AS8" i="18" s="1"/>
  <c r="S20" i="19"/>
  <c r="AO12" i="19"/>
  <c r="AQ8" i="19"/>
  <c r="AQ6" i="19" s="1"/>
  <c r="EB17" i="23" s="1"/>
  <c r="AQ12" i="18"/>
  <c r="AQ11" i="18"/>
  <c r="AQ10" i="19" s="1"/>
  <c r="AP19" i="18"/>
  <c r="AP11" i="19"/>
  <c r="AN49" i="18"/>
  <c r="AN13" i="19"/>
  <c r="AH25" i="18"/>
  <c r="AH26" i="18" s="1"/>
  <c r="AI24" i="18" s="1"/>
  <c r="AI29" i="18" s="1"/>
  <c r="AI30" i="18" s="1"/>
  <c r="AH45" i="18"/>
  <c r="AH46" i="18" s="1"/>
  <c r="AH47" i="18" s="1"/>
  <c r="S36" i="18"/>
  <c r="AO20" i="18"/>
  <c r="AO21" i="18"/>
  <c r="AS10" i="18"/>
  <c r="AR41" i="18"/>
  <c r="AR18" i="19" s="1"/>
  <c r="AQ17" i="18"/>
  <c r="AP18" i="18"/>
  <c r="AP13" i="18"/>
  <c r="AP14" i="18" s="1"/>
  <c r="T34" i="18" l="1"/>
  <c r="T42" i="18" s="1"/>
  <c r="T43" i="18" s="1"/>
  <c r="S22" i="19"/>
  <c r="DD19" i="23" s="1"/>
  <c r="DD23" i="23" s="1"/>
  <c r="DD29" i="23" s="1"/>
  <c r="AS9" i="19"/>
  <c r="AS9" i="18"/>
  <c r="AT8" i="18" s="1"/>
  <c r="AP12" i="19"/>
  <c r="AR8" i="19"/>
  <c r="AR6" i="19" s="1"/>
  <c r="EC17" i="23" s="1"/>
  <c r="AR12" i="18"/>
  <c r="AR11" i="18"/>
  <c r="AR10" i="19" s="1"/>
  <c r="AO49" i="18"/>
  <c r="AO13" i="19"/>
  <c r="AQ19" i="18"/>
  <c r="AQ11" i="19"/>
  <c r="AI25" i="18"/>
  <c r="AI26" i="18" s="1"/>
  <c r="AJ24" i="18" s="1"/>
  <c r="AJ29" i="18" s="1"/>
  <c r="AJ30" i="18" s="1"/>
  <c r="AI45" i="18"/>
  <c r="AI46" i="18" s="1"/>
  <c r="AI47" i="18" s="1"/>
  <c r="AQ13" i="18"/>
  <c r="AQ14" i="18" s="1"/>
  <c r="AQ18" i="18"/>
  <c r="AS7" i="19"/>
  <c r="AR17" i="18"/>
  <c r="AT10" i="18"/>
  <c r="AS41" i="18"/>
  <c r="AS18" i="19" s="1"/>
  <c r="AP20" i="18"/>
  <c r="AP21" i="18"/>
  <c r="T17" i="19" l="1"/>
  <c r="AT9" i="19"/>
  <c r="AT9" i="18"/>
  <c r="AU8" i="18" s="1"/>
  <c r="AT7" i="19"/>
  <c r="T19" i="19"/>
  <c r="DE20" i="23" s="1"/>
  <c r="DE24" i="23" s="1"/>
  <c r="T35" i="18"/>
  <c r="AQ12" i="19"/>
  <c r="AS8" i="19"/>
  <c r="AS6" i="19" s="1"/>
  <c r="ED17" i="23" s="1"/>
  <c r="AS12" i="18"/>
  <c r="AS11" i="18"/>
  <c r="AS10" i="19" s="1"/>
  <c r="AP49" i="18"/>
  <c r="AP13" i="19"/>
  <c r="AR19" i="18"/>
  <c r="AR11" i="19"/>
  <c r="AJ25" i="18"/>
  <c r="AJ26" i="18" s="1"/>
  <c r="AK24" i="18" s="1"/>
  <c r="AK29" i="18" s="1"/>
  <c r="AK30" i="18" s="1"/>
  <c r="AJ45" i="18"/>
  <c r="AJ46" i="18" s="1"/>
  <c r="AJ47" i="18" s="1"/>
  <c r="AQ20" i="18"/>
  <c r="AQ21" i="18"/>
  <c r="AU10" i="18"/>
  <c r="AT41" i="18"/>
  <c r="AT18" i="19" s="1"/>
  <c r="AS17" i="18"/>
  <c r="AR13" i="18"/>
  <c r="AR14" i="18" s="1"/>
  <c r="AR18" i="18"/>
  <c r="AU7" i="19" l="1"/>
  <c r="AU9" i="19"/>
  <c r="AU9" i="18"/>
  <c r="AV8" i="18" s="1"/>
  <c r="T20" i="19"/>
  <c r="AR12" i="19"/>
  <c r="AT8" i="19"/>
  <c r="AT6" i="19" s="1"/>
  <c r="EE17" i="23" s="1"/>
  <c r="AT12" i="18"/>
  <c r="AT11" i="18"/>
  <c r="AT10" i="19" s="1"/>
  <c r="AS19" i="18"/>
  <c r="AS11" i="19"/>
  <c r="AQ49" i="18"/>
  <c r="AQ13" i="19"/>
  <c r="AK45" i="18"/>
  <c r="AK46" i="18" s="1"/>
  <c r="AK47" i="18" s="1"/>
  <c r="AK25" i="18"/>
  <c r="AK26" i="18" s="1"/>
  <c r="AL24" i="18" s="1"/>
  <c r="AL29" i="18" s="1"/>
  <c r="AL30" i="18" s="1"/>
  <c r="AS13" i="18"/>
  <c r="AS14" i="18" s="1"/>
  <c r="AS18" i="18"/>
  <c r="AR20" i="18"/>
  <c r="AR21" i="18"/>
  <c r="AV10" i="18"/>
  <c r="AU41" i="18"/>
  <c r="AU18" i="19" s="1"/>
  <c r="T36" i="18"/>
  <c r="AT17" i="18"/>
  <c r="U34" i="18" l="1"/>
  <c r="U42" i="18" s="1"/>
  <c r="U43" i="18" s="1"/>
  <c r="T22" i="19"/>
  <c r="DE19" i="23" s="1"/>
  <c r="DE23" i="23" s="1"/>
  <c r="DE29" i="23" s="1"/>
  <c r="AV9" i="19"/>
  <c r="AV9" i="18"/>
  <c r="AW8" i="18" s="1"/>
  <c r="AV7" i="19"/>
  <c r="AS12" i="19"/>
  <c r="AU8" i="19"/>
  <c r="AU6" i="19" s="1"/>
  <c r="EF17" i="23" s="1"/>
  <c r="AU12" i="18"/>
  <c r="AU11" i="18"/>
  <c r="AU10" i="19" s="1"/>
  <c r="AT19" i="18"/>
  <c r="AT11" i="19"/>
  <c r="AR49" i="18"/>
  <c r="AR13" i="19"/>
  <c r="AL25" i="18"/>
  <c r="AL26" i="18" s="1"/>
  <c r="AM24" i="18" s="1"/>
  <c r="AM29" i="18" s="1"/>
  <c r="AM30" i="18" s="1"/>
  <c r="AL45" i="18"/>
  <c r="AL46" i="18" s="1"/>
  <c r="AL47" i="18" s="1"/>
  <c r="AT18" i="18"/>
  <c r="AT13" i="18"/>
  <c r="AT14" i="18" s="1"/>
  <c r="AS20" i="18"/>
  <c r="AS21" i="18"/>
  <c r="AW10" i="18"/>
  <c r="AV41" i="18"/>
  <c r="AV18" i="19" s="1"/>
  <c r="AU17" i="18"/>
  <c r="U17" i="19" l="1"/>
  <c r="AW9" i="19"/>
  <c r="AW9" i="18"/>
  <c r="AX8" i="18" s="1"/>
  <c r="AW7" i="19"/>
  <c r="U19" i="19"/>
  <c r="DF20" i="23" s="1"/>
  <c r="DF24" i="23" s="1"/>
  <c r="U35" i="18"/>
  <c r="AT12" i="19"/>
  <c r="AV8" i="19"/>
  <c r="AV6" i="19" s="1"/>
  <c r="EG17" i="23" s="1"/>
  <c r="AV12" i="18"/>
  <c r="AV11" i="18"/>
  <c r="AV10" i="19" s="1"/>
  <c r="AU19" i="18"/>
  <c r="AU11" i="19"/>
  <c r="AS49" i="18"/>
  <c r="AS13" i="19"/>
  <c r="AM25" i="18"/>
  <c r="AM26" i="18" s="1"/>
  <c r="AN24" i="18" s="1"/>
  <c r="AN29" i="18" s="1"/>
  <c r="AN30" i="18" s="1"/>
  <c r="AM45" i="18"/>
  <c r="AM46" i="18" s="1"/>
  <c r="AM47" i="18" s="1"/>
  <c r="AX10" i="18"/>
  <c r="AW41" i="18"/>
  <c r="AW18" i="19" s="1"/>
  <c r="AV17" i="18"/>
  <c r="AT20" i="18"/>
  <c r="AT21" i="18"/>
  <c r="AU13" i="18"/>
  <c r="AU14" i="18" s="1"/>
  <c r="AU18" i="18"/>
  <c r="AX9" i="19" l="1"/>
  <c r="AX9" i="18"/>
  <c r="AY8" i="18" s="1"/>
  <c r="AX7" i="19"/>
  <c r="U20" i="19"/>
  <c r="AU12" i="19"/>
  <c r="AW8" i="19"/>
  <c r="AW6" i="19" s="1"/>
  <c r="EH17" i="23" s="1"/>
  <c r="AW12" i="18"/>
  <c r="AW11" i="18"/>
  <c r="AW10" i="19" s="1"/>
  <c r="AT49" i="18"/>
  <c r="AT13" i="19"/>
  <c r="AV19" i="18"/>
  <c r="AV11" i="19"/>
  <c r="AN45" i="18"/>
  <c r="AN46" i="18" s="1"/>
  <c r="AN47" i="18" s="1"/>
  <c r="AN25" i="18"/>
  <c r="AN26" i="18" s="1"/>
  <c r="AO24" i="18" s="1"/>
  <c r="AO29" i="18" s="1"/>
  <c r="AO30" i="18" s="1"/>
  <c r="AU20" i="18"/>
  <c r="AU21" i="18"/>
  <c r="U36" i="18"/>
  <c r="AW17" i="18"/>
  <c r="AV13" i="18"/>
  <c r="AV14" i="18" s="1"/>
  <c r="AV18" i="18"/>
  <c r="AY10" i="18"/>
  <c r="AX41" i="18"/>
  <c r="AX18" i="19" s="1"/>
  <c r="V34" i="18" l="1"/>
  <c r="V42" i="18" s="1"/>
  <c r="V43" i="18" s="1"/>
  <c r="U22" i="19"/>
  <c r="DF19" i="23" s="1"/>
  <c r="DF23" i="23" s="1"/>
  <c r="DF29" i="23" s="1"/>
  <c r="AY9" i="19"/>
  <c r="AY9" i="18"/>
  <c r="AZ8" i="18" s="1"/>
  <c r="AY7" i="19"/>
  <c r="AV12" i="19"/>
  <c r="AX8" i="19"/>
  <c r="AX6" i="19" s="1"/>
  <c r="EI17" i="23" s="1"/>
  <c r="AX12" i="18"/>
  <c r="AX11" i="18"/>
  <c r="AX10" i="19" s="1"/>
  <c r="AW19" i="18"/>
  <c r="AW11" i="19"/>
  <c r="AU49" i="18"/>
  <c r="AU13" i="19"/>
  <c r="AO25" i="18"/>
  <c r="AO26" i="18" s="1"/>
  <c r="AP24" i="18" s="1"/>
  <c r="AP29" i="18" s="1"/>
  <c r="AP30" i="18" s="1"/>
  <c r="AO45" i="18"/>
  <c r="AO46" i="18" s="1"/>
  <c r="AO47" i="18" s="1"/>
  <c r="AW13" i="18"/>
  <c r="AW14" i="18" s="1"/>
  <c r="AW18" i="18"/>
  <c r="AY41" i="18"/>
  <c r="AY18" i="19" s="1"/>
  <c r="AZ10" i="18"/>
  <c r="AV20" i="18"/>
  <c r="AV21" i="18"/>
  <c r="AX17" i="18"/>
  <c r="V52" i="18" l="1"/>
  <c r="V17" i="19"/>
  <c r="AZ7" i="19"/>
  <c r="AZ9" i="19"/>
  <c r="AZ9" i="18"/>
  <c r="BA8" i="18" s="1"/>
  <c r="V19" i="19"/>
  <c r="DG20" i="23" s="1"/>
  <c r="DG24" i="23" s="1"/>
  <c r="AW12" i="19"/>
  <c r="AY8" i="19"/>
  <c r="AY6" i="19" s="1"/>
  <c r="EJ17" i="23" s="1"/>
  <c r="AY12" i="18"/>
  <c r="AY11" i="18"/>
  <c r="AY10" i="19" s="1"/>
  <c r="AV49" i="18"/>
  <c r="AV13" i="19"/>
  <c r="AX19" i="18"/>
  <c r="AX11" i="19"/>
  <c r="AP25" i="18"/>
  <c r="AP26" i="18" s="1"/>
  <c r="AQ24" i="18" s="1"/>
  <c r="AQ29" i="18" s="1"/>
  <c r="AQ30" i="18" s="1"/>
  <c r="AP45" i="18"/>
  <c r="AP46" i="18" s="1"/>
  <c r="AP47" i="18" s="1"/>
  <c r="BA10" i="18"/>
  <c r="AZ41" i="18"/>
  <c r="AZ18" i="19" s="1"/>
  <c r="AX18" i="18"/>
  <c r="AX13" i="18"/>
  <c r="AX14" i="18" s="1"/>
  <c r="AY17" i="18"/>
  <c r="AW20" i="18"/>
  <c r="AW21" i="18"/>
  <c r="BA9" i="19" l="1"/>
  <c r="BA9" i="18"/>
  <c r="BB8" i="18" s="1"/>
  <c r="BA7" i="19"/>
  <c r="V20" i="19"/>
  <c r="V35" i="18"/>
  <c r="V36" i="18" s="1"/>
  <c r="AX12" i="19"/>
  <c r="AZ8" i="19"/>
  <c r="AZ6" i="19" s="1"/>
  <c r="EK17" i="23" s="1"/>
  <c r="AZ12" i="18"/>
  <c r="AZ11" i="18"/>
  <c r="AZ10" i="19" s="1"/>
  <c r="AY19" i="18"/>
  <c r="AY11" i="19"/>
  <c r="AW49" i="18"/>
  <c r="AW13" i="19"/>
  <c r="AQ45" i="18"/>
  <c r="AQ46" i="18" s="1"/>
  <c r="AQ47" i="18" s="1"/>
  <c r="AQ25" i="18"/>
  <c r="AQ26" i="18" s="1"/>
  <c r="AR24" i="18" s="1"/>
  <c r="AR29" i="18" s="1"/>
  <c r="AR30" i="18" s="1"/>
  <c r="AZ17" i="18"/>
  <c r="AY13" i="18"/>
  <c r="AY14" i="18" s="1"/>
  <c r="AY18" i="18"/>
  <c r="AX20" i="18"/>
  <c r="AX21" i="18"/>
  <c r="BB10" i="18"/>
  <c r="BA41" i="18"/>
  <c r="BA18" i="19" s="1"/>
  <c r="W34" i="18" l="1"/>
  <c r="W42" i="18" s="1"/>
  <c r="W43" i="18" s="1"/>
  <c r="V22" i="19"/>
  <c r="DG19" i="23" s="1"/>
  <c r="DG23" i="23" s="1"/>
  <c r="DG29" i="23" s="1"/>
  <c r="BB7" i="19"/>
  <c r="BB9" i="19"/>
  <c r="BB9" i="18"/>
  <c r="BC8" i="18" s="1"/>
  <c r="AY12" i="19"/>
  <c r="BA8" i="19"/>
  <c r="BA6" i="19" s="1"/>
  <c r="EL17" i="23" s="1"/>
  <c r="BA11" i="18"/>
  <c r="BA10" i="19" s="1"/>
  <c r="BA12" i="18"/>
  <c r="AX49" i="18"/>
  <c r="AX13" i="19"/>
  <c r="AZ19" i="18"/>
  <c r="AZ11" i="19"/>
  <c r="AR25" i="18"/>
  <c r="AR26" i="18" s="1"/>
  <c r="AS24" i="18" s="1"/>
  <c r="AS29" i="18" s="1"/>
  <c r="AS30" i="18" s="1"/>
  <c r="AR45" i="18"/>
  <c r="AR46" i="18" s="1"/>
  <c r="AR47" i="18" s="1"/>
  <c r="AZ13" i="18"/>
  <c r="AZ14" i="18" s="1"/>
  <c r="AZ18" i="18"/>
  <c r="AY20" i="18"/>
  <c r="AY21" i="18"/>
  <c r="BA17" i="18"/>
  <c r="BC10" i="18"/>
  <c r="BB41" i="18"/>
  <c r="BB18" i="19" s="1"/>
  <c r="W52" i="18" l="1"/>
  <c r="W17" i="19"/>
  <c r="BC9" i="19"/>
  <c r="BC9" i="18"/>
  <c r="BD8" i="18" s="1"/>
  <c r="W19" i="19"/>
  <c r="DH20" i="23" s="1"/>
  <c r="DH24" i="23" s="1"/>
  <c r="AZ12" i="19"/>
  <c r="BB8" i="19"/>
  <c r="BB6" i="19" s="1"/>
  <c r="EM17" i="23" s="1"/>
  <c r="BB12" i="18"/>
  <c r="BB11" i="18"/>
  <c r="BB10" i="19" s="1"/>
  <c r="BA19" i="18"/>
  <c r="BA11" i="19"/>
  <c r="AY49" i="18"/>
  <c r="AY13" i="19"/>
  <c r="AZ20" i="18"/>
  <c r="AZ21" i="18"/>
  <c r="AS25" i="18"/>
  <c r="AS26" i="18" s="1"/>
  <c r="AT24" i="18" s="1"/>
  <c r="AT29" i="18" s="1"/>
  <c r="AT30" i="18" s="1"/>
  <c r="AS45" i="18"/>
  <c r="AS46" i="18" s="1"/>
  <c r="AS47" i="18" s="1"/>
  <c r="BD10" i="18"/>
  <c r="BC41" i="18"/>
  <c r="BC18" i="19" s="1"/>
  <c r="BC7" i="19"/>
  <c r="BB17" i="18"/>
  <c r="BA18" i="18"/>
  <c r="BA13" i="18"/>
  <c r="BA14" i="18" s="1"/>
  <c r="BD7" i="19" l="1"/>
  <c r="BD9" i="19"/>
  <c r="BD9" i="18"/>
  <c r="BE8" i="18" s="1"/>
  <c r="W20" i="19"/>
  <c r="W35" i="18"/>
  <c r="W36" i="18" s="1"/>
  <c r="BA12" i="19"/>
  <c r="BC8" i="19"/>
  <c r="BC6" i="19" s="1"/>
  <c r="EN17" i="23" s="1"/>
  <c r="BC12" i="18"/>
  <c r="BC11" i="18"/>
  <c r="BC10" i="19" s="1"/>
  <c r="BB19" i="18"/>
  <c r="BB11" i="19"/>
  <c r="AZ49" i="18"/>
  <c r="AZ13" i="19"/>
  <c r="AT25" i="18"/>
  <c r="AT26" i="18" s="1"/>
  <c r="AU24" i="18" s="1"/>
  <c r="AU29" i="18" s="1"/>
  <c r="AU30" i="18" s="1"/>
  <c r="AT45" i="18"/>
  <c r="AT46" i="18" s="1"/>
  <c r="AT47" i="18" s="1"/>
  <c r="BA20" i="18"/>
  <c r="BA21" i="18"/>
  <c r="BC17" i="18"/>
  <c r="BB13" i="18"/>
  <c r="BB14" i="18" s="1"/>
  <c r="BB18" i="18"/>
  <c r="BE10" i="18"/>
  <c r="BD41" i="18"/>
  <c r="BD18" i="19" s="1"/>
  <c r="X34" i="18" l="1"/>
  <c r="X42" i="18" s="1"/>
  <c r="X43" i="18" s="1"/>
  <c r="W22" i="19"/>
  <c r="DH19" i="23" s="1"/>
  <c r="DH23" i="23" s="1"/>
  <c r="DH29" i="23" s="1"/>
  <c r="BE9" i="19"/>
  <c r="BE9" i="18"/>
  <c r="BF8" i="18" s="1"/>
  <c r="BB12" i="19"/>
  <c r="BD8" i="19"/>
  <c r="BD6" i="19" s="1"/>
  <c r="EO17" i="23" s="1"/>
  <c r="BD12" i="18"/>
  <c r="BD11" i="18"/>
  <c r="BD10" i="19" s="1"/>
  <c r="BC19" i="18"/>
  <c r="BC11" i="19"/>
  <c r="BA49" i="18"/>
  <c r="BA13" i="19"/>
  <c r="AU25" i="18"/>
  <c r="AU26" i="18" s="1"/>
  <c r="AV24" i="18" s="1"/>
  <c r="AV29" i="18" s="1"/>
  <c r="AV30" i="18" s="1"/>
  <c r="AU45" i="18"/>
  <c r="AU46" i="18" s="1"/>
  <c r="AU47" i="18" s="1"/>
  <c r="BD17" i="18"/>
  <c r="BE7" i="19"/>
  <c r="BF10" i="18"/>
  <c r="BE41" i="18"/>
  <c r="BE18" i="19" s="1"/>
  <c r="BB20" i="18"/>
  <c r="BB21" i="18"/>
  <c r="BC18" i="18"/>
  <c r="BC13" i="18"/>
  <c r="BC14" i="18" s="1"/>
  <c r="X17" i="19" l="1"/>
  <c r="X52" i="18"/>
  <c r="BF9" i="19"/>
  <c r="BF9" i="18"/>
  <c r="BG8" i="18" s="1"/>
  <c r="X19" i="19"/>
  <c r="DI20" i="23" s="1"/>
  <c r="DI24" i="23" s="1"/>
  <c r="X35" i="18"/>
  <c r="BC12" i="19"/>
  <c r="BE8" i="19"/>
  <c r="BE6" i="19" s="1"/>
  <c r="EP17" i="23" s="1"/>
  <c r="BE11" i="18"/>
  <c r="BE10" i="19" s="1"/>
  <c r="BE12" i="18"/>
  <c r="BB49" i="18"/>
  <c r="BB13" i="19"/>
  <c r="BD19" i="18"/>
  <c r="BD11" i="19"/>
  <c r="AV45" i="18"/>
  <c r="AV46" i="18" s="1"/>
  <c r="AV47" i="18" s="1"/>
  <c r="AV25" i="18"/>
  <c r="AV26" i="18" s="1"/>
  <c r="AW24" i="18" s="1"/>
  <c r="AW29" i="18" s="1"/>
  <c r="AW30" i="18" s="1"/>
  <c r="X20" i="19"/>
  <c r="BF41" i="18"/>
  <c r="BF18" i="19" s="1"/>
  <c r="BG10" i="18"/>
  <c r="BD18" i="18"/>
  <c r="BD13" i="18"/>
  <c r="BD14" i="18" s="1"/>
  <c r="BC20" i="18"/>
  <c r="BC21" i="18"/>
  <c r="BF7" i="19"/>
  <c r="BE17" i="18"/>
  <c r="BG9" i="19" l="1"/>
  <c r="BG9" i="18"/>
  <c r="BH8" i="18" s="1"/>
  <c r="BD12" i="19"/>
  <c r="BF8" i="19"/>
  <c r="BF6" i="19" s="1"/>
  <c r="EQ17" i="23" s="1"/>
  <c r="BF12" i="18"/>
  <c r="BF11" i="18"/>
  <c r="BF10" i="19" s="1"/>
  <c r="BC49" i="18"/>
  <c r="BC13" i="19"/>
  <c r="BE19" i="18"/>
  <c r="BE11" i="19"/>
  <c r="AW25" i="18"/>
  <c r="AW26" i="18" s="1"/>
  <c r="AX24" i="18" s="1"/>
  <c r="AX29" i="18" s="1"/>
  <c r="AX30" i="18" s="1"/>
  <c r="AW45" i="18"/>
  <c r="AW46" i="18" s="1"/>
  <c r="AW47" i="18" s="1"/>
  <c r="BE13" i="18"/>
  <c r="BE14" i="18" s="1"/>
  <c r="BE18" i="18"/>
  <c r="X36" i="18"/>
  <c r="BH10" i="18"/>
  <c r="BG41" i="18"/>
  <c r="BG18" i="19" s="1"/>
  <c r="BG7" i="19"/>
  <c r="BF17" i="18"/>
  <c r="BD20" i="18"/>
  <c r="BD21" i="18"/>
  <c r="Y34" i="18" l="1"/>
  <c r="Y42" i="18" s="1"/>
  <c r="Y43" i="18" s="1"/>
  <c r="X22" i="19"/>
  <c r="DI19" i="23" s="1"/>
  <c r="DI23" i="23" s="1"/>
  <c r="DI29" i="23" s="1"/>
  <c r="BH7" i="19"/>
  <c r="BH9" i="19"/>
  <c r="BH9" i="18"/>
  <c r="BI8" i="18" s="1"/>
  <c r="BE12" i="19"/>
  <c r="BG8" i="19"/>
  <c r="BG6" i="19" s="1"/>
  <c r="ER17" i="23" s="1"/>
  <c r="BG11" i="18"/>
  <c r="BG10" i="19" s="1"/>
  <c r="BG12" i="18"/>
  <c r="BF19" i="18"/>
  <c r="BF11" i="19"/>
  <c r="BD49" i="18"/>
  <c r="BD13" i="19"/>
  <c r="AX45" i="18"/>
  <c r="AX46" i="18" s="1"/>
  <c r="AX47" i="18" s="1"/>
  <c r="AX25" i="18"/>
  <c r="AX26" i="18" s="1"/>
  <c r="AY24" i="18" s="1"/>
  <c r="AY29" i="18" s="1"/>
  <c r="AY30" i="18" s="1"/>
  <c r="BF18" i="18"/>
  <c r="BF13" i="18"/>
  <c r="BF14" i="18" s="1"/>
  <c r="BI10" i="18"/>
  <c r="BH41" i="18"/>
  <c r="BH18" i="19" s="1"/>
  <c r="BG17" i="18"/>
  <c r="BE20" i="18"/>
  <c r="BE21" i="18"/>
  <c r="Y52" i="18" l="1"/>
  <c r="Y17" i="19"/>
  <c r="BI9" i="19"/>
  <c r="BI9" i="18"/>
  <c r="BJ8" i="18" s="1"/>
  <c r="Y19" i="19"/>
  <c r="DJ20" i="23" s="1"/>
  <c r="DJ24" i="23" s="1"/>
  <c r="BH8" i="19"/>
  <c r="BH6" i="19" s="1"/>
  <c r="ES17" i="23" s="1"/>
  <c r="BH12" i="18"/>
  <c r="BH11" i="18"/>
  <c r="BH10" i="19" s="1"/>
  <c r="BF21" i="18"/>
  <c r="BF12" i="19"/>
  <c r="BG19" i="18"/>
  <c r="BG11" i="19"/>
  <c r="BE49" i="18"/>
  <c r="BE13" i="19"/>
  <c r="AY25" i="18"/>
  <c r="AY26" i="18" s="1"/>
  <c r="AZ24" i="18" s="1"/>
  <c r="AZ29" i="18" s="1"/>
  <c r="AZ30" i="18" s="1"/>
  <c r="AY45" i="18"/>
  <c r="AY46" i="18" s="1"/>
  <c r="AY47" i="18" s="1"/>
  <c r="BJ10" i="18"/>
  <c r="BI41" i="18"/>
  <c r="BI18" i="19" s="1"/>
  <c r="BF20" i="18"/>
  <c r="BI7" i="19"/>
  <c r="BH17" i="18"/>
  <c r="BG13" i="18"/>
  <c r="BG14" i="18" s="1"/>
  <c r="BG18" i="18"/>
  <c r="BJ9" i="19" l="1"/>
  <c r="BJ9" i="18"/>
  <c r="BK8" i="18" s="1"/>
  <c r="BJ7" i="19"/>
  <c r="Y20" i="19"/>
  <c r="Y35" i="18"/>
  <c r="Y36" i="18" s="1"/>
  <c r="BI8" i="19"/>
  <c r="BI6" i="19" s="1"/>
  <c r="ET17" i="23" s="1"/>
  <c r="BI12" i="18"/>
  <c r="BI11" i="18"/>
  <c r="BI10" i="19" s="1"/>
  <c r="BG21" i="18"/>
  <c r="BG12" i="19"/>
  <c r="BF49" i="18"/>
  <c r="BF13" i="19"/>
  <c r="BH19" i="18"/>
  <c r="BH11" i="19"/>
  <c r="AZ25" i="18"/>
  <c r="AZ26" i="18" s="1"/>
  <c r="BA24" i="18" s="1"/>
  <c r="BA29" i="18" s="1"/>
  <c r="BA30" i="18" s="1"/>
  <c r="AZ45" i="18"/>
  <c r="AZ46" i="18" s="1"/>
  <c r="AZ47" i="18" s="1"/>
  <c r="BG20" i="18"/>
  <c r="BK10" i="18"/>
  <c r="BJ41" i="18"/>
  <c r="BJ18" i="19" s="1"/>
  <c r="BI17" i="18"/>
  <c r="BH13" i="18"/>
  <c r="BH14" i="18" s="1"/>
  <c r="BH18" i="18"/>
  <c r="Z34" i="18" l="1"/>
  <c r="Z42" i="18" s="1"/>
  <c r="Z43" i="18" s="1"/>
  <c r="Y22" i="19"/>
  <c r="DJ19" i="23" s="1"/>
  <c r="DJ23" i="23" s="1"/>
  <c r="DJ29" i="23" s="1"/>
  <c r="BK9" i="19"/>
  <c r="BK9" i="18"/>
  <c r="BL8" i="18" s="1"/>
  <c r="BK7" i="19"/>
  <c r="BJ8" i="19"/>
  <c r="BJ6" i="19" s="1"/>
  <c r="EU17" i="23" s="1"/>
  <c r="BJ12" i="18"/>
  <c r="BJ11" i="18"/>
  <c r="BJ10" i="19" s="1"/>
  <c r="BH21" i="18"/>
  <c r="BH12" i="19"/>
  <c r="BI19" i="18"/>
  <c r="BI11" i="19"/>
  <c r="BG49" i="18"/>
  <c r="BG13" i="19"/>
  <c r="BA45" i="18"/>
  <c r="BA46" i="18" s="1"/>
  <c r="BA47" i="18" s="1"/>
  <c r="BA25" i="18"/>
  <c r="BA26" i="18" s="1"/>
  <c r="BB24" i="18" s="1"/>
  <c r="BB29" i="18" s="1"/>
  <c r="BB30" i="18" s="1"/>
  <c r="BH20" i="18"/>
  <c r="BJ17" i="18"/>
  <c r="BI18" i="18"/>
  <c r="BI13" i="18"/>
  <c r="BI14" i="18" s="1"/>
  <c r="BL10" i="18"/>
  <c r="BK41" i="18"/>
  <c r="BK18" i="19" s="1"/>
  <c r="Z52" i="18" l="1"/>
  <c r="Z17" i="19"/>
  <c r="BL9" i="19"/>
  <c r="BL9" i="18"/>
  <c r="BM8" i="18" s="1"/>
  <c r="BL7" i="19"/>
  <c r="Z19" i="19"/>
  <c r="DK20" i="23" s="1"/>
  <c r="DK24" i="23" s="1"/>
  <c r="Z35" i="18"/>
  <c r="BK8" i="19"/>
  <c r="BK6" i="19" s="1"/>
  <c r="EV17" i="23" s="1"/>
  <c r="BK12" i="18"/>
  <c r="BK11" i="18"/>
  <c r="BK10" i="19" s="1"/>
  <c r="BJ19" i="18"/>
  <c r="BJ11" i="19"/>
  <c r="BI21" i="18"/>
  <c r="BI12" i="19"/>
  <c r="BH49" i="18"/>
  <c r="BH13" i="19"/>
  <c r="BB25" i="18"/>
  <c r="BB26" i="18" s="1"/>
  <c r="BC24" i="18" s="1"/>
  <c r="BC29" i="18" s="1"/>
  <c r="BC30" i="18" s="1"/>
  <c r="BB45" i="18"/>
  <c r="BB46" i="18" s="1"/>
  <c r="BB47" i="18" s="1"/>
  <c r="BJ13" i="18"/>
  <c r="BJ14" i="18" s="1"/>
  <c r="BJ18" i="18"/>
  <c r="BM10" i="18"/>
  <c r="BL41" i="18"/>
  <c r="BL18" i="19" s="1"/>
  <c r="BK17" i="18"/>
  <c r="BI20" i="18"/>
  <c r="BM7" i="19" l="1"/>
  <c r="BM9" i="19"/>
  <c r="BM9" i="18"/>
  <c r="BN8" i="18" s="1"/>
  <c r="Z20" i="19"/>
  <c r="BL8" i="19"/>
  <c r="BL6" i="19" s="1"/>
  <c r="EW17" i="23" s="1"/>
  <c r="BL12" i="18"/>
  <c r="BL11" i="18"/>
  <c r="BL10" i="19" s="1"/>
  <c r="BK19" i="18"/>
  <c r="BK11" i="19"/>
  <c r="BI49" i="18"/>
  <c r="BI13" i="19"/>
  <c r="BJ21" i="18"/>
  <c r="BJ12" i="19"/>
  <c r="BC25" i="18"/>
  <c r="BC26" i="18" s="1"/>
  <c r="BD24" i="18" s="1"/>
  <c r="BD29" i="18" s="1"/>
  <c r="BD30" i="18" s="1"/>
  <c r="BC45" i="18"/>
  <c r="BC46" i="18" s="1"/>
  <c r="BC47" i="18" s="1"/>
  <c r="BJ20" i="18"/>
  <c r="Z36" i="18"/>
  <c r="BN10" i="18"/>
  <c r="BM41" i="18"/>
  <c r="BM18" i="19" s="1"/>
  <c r="BL17" i="18"/>
  <c r="BK13" i="18"/>
  <c r="BK14" i="18" s="1"/>
  <c r="BK18" i="18"/>
  <c r="AA34" i="18" l="1"/>
  <c r="AA42" i="18" s="1"/>
  <c r="AA43" i="18" s="1"/>
  <c r="Z22" i="19"/>
  <c r="DK19" i="23" s="1"/>
  <c r="DK23" i="23" s="1"/>
  <c r="DK29" i="23" s="1"/>
  <c r="BN9" i="19"/>
  <c r="BN9" i="18"/>
  <c r="BO8" i="18" s="1"/>
  <c r="BM8" i="19"/>
  <c r="BM6" i="19" s="1"/>
  <c r="EX17" i="23" s="1"/>
  <c r="BM12" i="18"/>
  <c r="BM11" i="18"/>
  <c r="BM10" i="19" s="1"/>
  <c r="BK21" i="18"/>
  <c r="BK12" i="19"/>
  <c r="BJ49" i="18"/>
  <c r="BJ13" i="19"/>
  <c r="BL19" i="18"/>
  <c r="BL11" i="19"/>
  <c r="BD45" i="18"/>
  <c r="BD46" i="18" s="1"/>
  <c r="BD47" i="18" s="1"/>
  <c r="BD25" i="18"/>
  <c r="BD26" i="18" s="1"/>
  <c r="BE24" i="18" s="1"/>
  <c r="BE29" i="18" s="1"/>
  <c r="BE30" i="18" s="1"/>
  <c r="BL18" i="18"/>
  <c r="BL13" i="18"/>
  <c r="BL14" i="18" s="1"/>
  <c r="BN7" i="19"/>
  <c r="BM17" i="18"/>
  <c r="BK20" i="18"/>
  <c r="BO10" i="18"/>
  <c r="BN41" i="18"/>
  <c r="BN18" i="19" s="1"/>
  <c r="AA17" i="19" l="1"/>
  <c r="AA52" i="18"/>
  <c r="BO7" i="19"/>
  <c r="BO9" i="19"/>
  <c r="BO9" i="18"/>
  <c r="BP8" i="18" s="1"/>
  <c r="AA19" i="19"/>
  <c r="DL20" i="23" s="1"/>
  <c r="DL24" i="23" s="1"/>
  <c r="AA35" i="18"/>
  <c r="BN8" i="19"/>
  <c r="BN6" i="19" s="1"/>
  <c r="EY17" i="23" s="1"/>
  <c r="BN12" i="18"/>
  <c r="BN11" i="18"/>
  <c r="BN10" i="19" s="1"/>
  <c r="BK49" i="18"/>
  <c r="BK13" i="19"/>
  <c r="BL21" i="18"/>
  <c r="BL12" i="19"/>
  <c r="BM19" i="18"/>
  <c r="BM11" i="19"/>
  <c r="BE25" i="18"/>
  <c r="BE26" i="18" s="1"/>
  <c r="BF24" i="18" s="1"/>
  <c r="BF29" i="18" s="1"/>
  <c r="BF30" i="18" s="1"/>
  <c r="BE45" i="18"/>
  <c r="BE46" i="18" s="1"/>
  <c r="BE47" i="18" s="1"/>
  <c r="BP10" i="18"/>
  <c r="BO41" i="18"/>
  <c r="BO18" i="19" s="1"/>
  <c r="BL20" i="18"/>
  <c r="BM13" i="18"/>
  <c r="BM14" i="18" s="1"/>
  <c r="BM18" i="18"/>
  <c r="BN17" i="18"/>
  <c r="BP9" i="19" l="1"/>
  <c r="BP9" i="18"/>
  <c r="BQ8" i="18" s="1"/>
  <c r="AA20" i="19"/>
  <c r="BO8" i="19"/>
  <c r="BO6" i="19" s="1"/>
  <c r="EZ17" i="23" s="1"/>
  <c r="BO12" i="18"/>
  <c r="BO11" i="18"/>
  <c r="BO10" i="19" s="1"/>
  <c r="BL49" i="18"/>
  <c r="BL13" i="19"/>
  <c r="BM21" i="18"/>
  <c r="BM12" i="19"/>
  <c r="BN19" i="18"/>
  <c r="BN11" i="19"/>
  <c r="BF45" i="18"/>
  <c r="BF46" i="18" s="1"/>
  <c r="BF47" i="18" s="1"/>
  <c r="BF25" i="18"/>
  <c r="BF26" i="18" s="1"/>
  <c r="BG24" i="18" s="1"/>
  <c r="BG29" i="18" s="1"/>
  <c r="BG30" i="18" s="1"/>
  <c r="AA36" i="18"/>
  <c r="BM20" i="18"/>
  <c r="BP7" i="19"/>
  <c r="BO17" i="18"/>
  <c r="BN18" i="18"/>
  <c r="BN13" i="18"/>
  <c r="BN14" i="18" s="1"/>
  <c r="BQ10" i="18"/>
  <c r="BP41" i="18"/>
  <c r="BP18" i="19" s="1"/>
  <c r="AB34" i="18" l="1"/>
  <c r="AB42" i="18" s="1"/>
  <c r="AB43" i="18" s="1"/>
  <c r="AA22" i="19"/>
  <c r="DL19" i="23" s="1"/>
  <c r="DL23" i="23" s="1"/>
  <c r="DL29" i="23" s="1"/>
  <c r="BQ7" i="19"/>
  <c r="BQ9" i="19"/>
  <c r="BQ9" i="18"/>
  <c r="BR8" i="18" s="1"/>
  <c r="BP8" i="19"/>
  <c r="BP6" i="19" s="1"/>
  <c r="FA17" i="23" s="1"/>
  <c r="BP12" i="18"/>
  <c r="BP11" i="18"/>
  <c r="BP10" i="19" s="1"/>
  <c r="BO19" i="18"/>
  <c r="BO11" i="19"/>
  <c r="BM49" i="18"/>
  <c r="BM13" i="19"/>
  <c r="BN21" i="18"/>
  <c r="BN12" i="19"/>
  <c r="BG25" i="18"/>
  <c r="BG26" i="18" s="1"/>
  <c r="BH24" i="18" s="1"/>
  <c r="BH29" i="18" s="1"/>
  <c r="BH30" i="18" s="1"/>
  <c r="BG45" i="18"/>
  <c r="BG46" i="18" s="1"/>
  <c r="BG47" i="18" s="1"/>
  <c r="BN20" i="18"/>
  <c r="BR10" i="18"/>
  <c r="BQ41" i="18"/>
  <c r="BQ18" i="19" s="1"/>
  <c r="BO13" i="18"/>
  <c r="BO14" i="18" s="1"/>
  <c r="BO18" i="18"/>
  <c r="BP17" i="18"/>
  <c r="AB52" i="18" l="1"/>
  <c r="AB17" i="19"/>
  <c r="BR9" i="19"/>
  <c r="BR9" i="18"/>
  <c r="BS8" i="18" s="1"/>
  <c r="BR7" i="19"/>
  <c r="AB19" i="19"/>
  <c r="DM20" i="23" s="1"/>
  <c r="DM24" i="23" s="1"/>
  <c r="AB35" i="18"/>
  <c r="BQ8" i="19"/>
  <c r="BQ6" i="19" s="1"/>
  <c r="FB17" i="23" s="1"/>
  <c r="BQ11" i="18"/>
  <c r="BQ10" i="19" s="1"/>
  <c r="BQ12" i="18"/>
  <c r="BO21" i="18"/>
  <c r="BO12" i="19"/>
  <c r="BP19" i="18"/>
  <c r="BP11" i="19"/>
  <c r="BN49" i="18"/>
  <c r="BN13" i="19"/>
  <c r="BH25" i="18"/>
  <c r="BH26" i="18" s="1"/>
  <c r="BI24" i="18" s="1"/>
  <c r="BI29" i="18" s="1"/>
  <c r="BI30" i="18" s="1"/>
  <c r="BH45" i="18"/>
  <c r="BH46" i="18" s="1"/>
  <c r="BH47" i="18" s="1"/>
  <c r="BP13" i="18"/>
  <c r="BP14" i="18" s="1"/>
  <c r="BP18" i="18"/>
  <c r="BS10" i="18"/>
  <c r="BR41" i="18"/>
  <c r="BR18" i="19" s="1"/>
  <c r="BQ17" i="18"/>
  <c r="BO20" i="18"/>
  <c r="BS9" i="19" l="1"/>
  <c r="BS9" i="18"/>
  <c r="BT8" i="18" s="1"/>
  <c r="AB20" i="19"/>
  <c r="BR8" i="19"/>
  <c r="BR6" i="19" s="1"/>
  <c r="FC17" i="23" s="1"/>
  <c r="BR12" i="18"/>
  <c r="BR11" i="18"/>
  <c r="BR10" i="19" s="1"/>
  <c r="BO49" i="18"/>
  <c r="BO13" i="19"/>
  <c r="BQ19" i="18"/>
  <c r="BQ11" i="19"/>
  <c r="BP21" i="18"/>
  <c r="BP12" i="19"/>
  <c r="BI25" i="18"/>
  <c r="BI26" i="18" s="1"/>
  <c r="BJ24" i="18" s="1"/>
  <c r="BJ29" i="18" s="1"/>
  <c r="BJ30" i="18" s="1"/>
  <c r="BI45" i="18"/>
  <c r="BI46" i="18" s="1"/>
  <c r="BI47" i="18" s="1"/>
  <c r="BP20" i="18"/>
  <c r="BT10" i="18"/>
  <c r="BS41" i="18"/>
  <c r="BS18" i="19" s="1"/>
  <c r="BQ13" i="18"/>
  <c r="BQ14" i="18" s="1"/>
  <c r="BQ18" i="18"/>
  <c r="AB36" i="18"/>
  <c r="BR17" i="18"/>
  <c r="BS7" i="19"/>
  <c r="AC34" i="18" l="1"/>
  <c r="AC42" i="18" s="1"/>
  <c r="AC43" i="18" s="1"/>
  <c r="AB22" i="19"/>
  <c r="DM19" i="23" s="1"/>
  <c r="DM23" i="23" s="1"/>
  <c r="DM29" i="23" s="1"/>
  <c r="BT7" i="19"/>
  <c r="BT9" i="19"/>
  <c r="BT9" i="18"/>
  <c r="BU8" i="18" s="1"/>
  <c r="BS8" i="19"/>
  <c r="BS6" i="19" s="1"/>
  <c r="FD17" i="23" s="1"/>
  <c r="BS12" i="18"/>
  <c r="BS11" i="18"/>
  <c r="BS10" i="19" s="1"/>
  <c r="BQ21" i="18"/>
  <c r="BQ12" i="19"/>
  <c r="BR19" i="18"/>
  <c r="BR11" i="19"/>
  <c r="BP49" i="18"/>
  <c r="BP13" i="19"/>
  <c r="BJ25" i="18"/>
  <c r="BJ26" i="18" s="1"/>
  <c r="BK24" i="18" s="1"/>
  <c r="BK29" i="18" s="1"/>
  <c r="BK30" i="18" s="1"/>
  <c r="BJ45" i="18"/>
  <c r="BJ46" i="18" s="1"/>
  <c r="BJ47" i="18" s="1"/>
  <c r="BR13" i="18"/>
  <c r="BR14" i="18" s="1"/>
  <c r="BR18" i="18"/>
  <c r="BQ20" i="18"/>
  <c r="BS17" i="18"/>
  <c r="BU10" i="18"/>
  <c r="BT41" i="18"/>
  <c r="BT18" i="19" s="1"/>
  <c r="CU12" i="23" s="1"/>
  <c r="AC52" i="18" l="1"/>
  <c r="AC17" i="19"/>
  <c r="BU9" i="19"/>
  <c r="BU9" i="18"/>
  <c r="BV8" i="18" s="1"/>
  <c r="AC19" i="19"/>
  <c r="DN20" i="23" s="1"/>
  <c r="DN24" i="23" s="1"/>
  <c r="BT8" i="19"/>
  <c r="BT6" i="19" s="1"/>
  <c r="FE17" i="23" s="1"/>
  <c r="BT12" i="18"/>
  <c r="BT11" i="18"/>
  <c r="BT10" i="19" s="1"/>
  <c r="BQ49" i="18"/>
  <c r="BQ13" i="19"/>
  <c r="BS19" i="18"/>
  <c r="BS11" i="19"/>
  <c r="BR21" i="18"/>
  <c r="BR12" i="19"/>
  <c r="BK45" i="18"/>
  <c r="BK46" i="18" s="1"/>
  <c r="BK47" i="18" s="1"/>
  <c r="BK25" i="18"/>
  <c r="BK26" i="18" s="1"/>
  <c r="BL24" i="18" s="1"/>
  <c r="BL29" i="18" s="1"/>
  <c r="BL30" i="18" s="1"/>
  <c r="BT17" i="18"/>
  <c r="BU7" i="19"/>
  <c r="BR20" i="18"/>
  <c r="BS18" i="18"/>
  <c r="BS13" i="18"/>
  <c r="BS14" i="18" s="1"/>
  <c r="BV10" i="18"/>
  <c r="BU41" i="18"/>
  <c r="BU18" i="19" s="1"/>
  <c r="CV12" i="23" s="1"/>
  <c r="BV9" i="19" l="1"/>
  <c r="BV9" i="18"/>
  <c r="BW8" i="18" s="1"/>
  <c r="AC20" i="19"/>
  <c r="AC35" i="18"/>
  <c r="AC36" i="18" s="1"/>
  <c r="BU8" i="19"/>
  <c r="BU6" i="19" s="1"/>
  <c r="FF17" i="23" s="1"/>
  <c r="BU12" i="18"/>
  <c r="BU11" i="18"/>
  <c r="BU10" i="19" s="1"/>
  <c r="BR49" i="18"/>
  <c r="BR13" i="19"/>
  <c r="BS21" i="18"/>
  <c r="BS12" i="19"/>
  <c r="BT19" i="18"/>
  <c r="BT11" i="19"/>
  <c r="BL45" i="18"/>
  <c r="BL46" i="18" s="1"/>
  <c r="BL47" i="18" s="1"/>
  <c r="BL25" i="18"/>
  <c r="BL26" i="18" s="1"/>
  <c r="BM24" i="18" s="1"/>
  <c r="BM29" i="18" s="1"/>
  <c r="BM30" i="18" s="1"/>
  <c r="BT13" i="18"/>
  <c r="BT14" i="18" s="1"/>
  <c r="BT18" i="18"/>
  <c r="BV7" i="19"/>
  <c r="BU17" i="18"/>
  <c r="BS20" i="18"/>
  <c r="BW10" i="18"/>
  <c r="BV41" i="18"/>
  <c r="BV18" i="19" s="1"/>
  <c r="CW12" i="23" s="1"/>
  <c r="AD34" i="18" l="1"/>
  <c r="AD42" i="18" s="1"/>
  <c r="AD43" i="18" s="1"/>
  <c r="AC22" i="19"/>
  <c r="DN19" i="23" s="1"/>
  <c r="DN23" i="23" s="1"/>
  <c r="DN29" i="23" s="1"/>
  <c r="BW9" i="19"/>
  <c r="BW9" i="18"/>
  <c r="BX8" i="18" s="1"/>
  <c r="BW7" i="19"/>
  <c r="BV8" i="19"/>
  <c r="BV6" i="19" s="1"/>
  <c r="FG17" i="23" s="1"/>
  <c r="BV12" i="18"/>
  <c r="BV11" i="18"/>
  <c r="BV10" i="19" s="1"/>
  <c r="BU19" i="18"/>
  <c r="BU11" i="19"/>
  <c r="BS49" i="18"/>
  <c r="BS13" i="19"/>
  <c r="BT21" i="18"/>
  <c r="BT12" i="19"/>
  <c r="BM25" i="18"/>
  <c r="BM26" i="18" s="1"/>
  <c r="BN24" i="18" s="1"/>
  <c r="BN29" i="18" s="1"/>
  <c r="BN30" i="18" s="1"/>
  <c r="BM45" i="18"/>
  <c r="BM46" i="18" s="1"/>
  <c r="BM47" i="18" s="1"/>
  <c r="BV17" i="18"/>
  <c r="BT20" i="18"/>
  <c r="BU18" i="18"/>
  <c r="BU13" i="18"/>
  <c r="BU14" i="18" s="1"/>
  <c r="BX10" i="18"/>
  <c r="BW41" i="18"/>
  <c r="BW18" i="19" s="1"/>
  <c r="CX12" i="23" s="1"/>
  <c r="AD17" i="19" l="1"/>
  <c r="AD52" i="18"/>
  <c r="BX7" i="19"/>
  <c r="BX9" i="19"/>
  <c r="BX9" i="18"/>
  <c r="BY8" i="18" s="1"/>
  <c r="AD19" i="19"/>
  <c r="DO20" i="23" s="1"/>
  <c r="DO24" i="23" s="1"/>
  <c r="BW8" i="19"/>
  <c r="BW6" i="19" s="1"/>
  <c r="FH17" i="23" s="1"/>
  <c r="BW11" i="18"/>
  <c r="BW10" i="19" s="1"/>
  <c r="BW12" i="18"/>
  <c r="BT49" i="18"/>
  <c r="BT13" i="19"/>
  <c r="BV19" i="18"/>
  <c r="BV11" i="19"/>
  <c r="BU21" i="18"/>
  <c r="BU12" i="19"/>
  <c r="BV18" i="18"/>
  <c r="BV13" i="18"/>
  <c r="BV14" i="18" s="1"/>
  <c r="BY10" i="18"/>
  <c r="BX41" i="18"/>
  <c r="BX18" i="19" s="1"/>
  <c r="CY12" i="23" s="1"/>
  <c r="BW17" i="18"/>
  <c r="BN25" i="18"/>
  <c r="BN26" i="18" s="1"/>
  <c r="BO24" i="18" s="1"/>
  <c r="BO29" i="18" s="1"/>
  <c r="BO30" i="18" s="1"/>
  <c r="BN45" i="18"/>
  <c r="BN46" i="18" s="1"/>
  <c r="BN47" i="18" s="1"/>
  <c r="BU20" i="18"/>
  <c r="BY9" i="19" l="1"/>
  <c r="BY9" i="18"/>
  <c r="BZ8" i="18" s="1"/>
  <c r="BY7" i="19"/>
  <c r="AD20" i="19"/>
  <c r="AD35" i="18"/>
  <c r="AD36" i="18" s="1"/>
  <c r="BX8" i="19"/>
  <c r="BX6" i="19" s="1"/>
  <c r="FI17" i="23" s="1"/>
  <c r="BX12" i="18"/>
  <c r="BX11" i="18"/>
  <c r="BX10" i="19" s="1"/>
  <c r="BV21" i="18"/>
  <c r="BV12" i="19"/>
  <c r="BU49" i="18"/>
  <c r="BU13" i="19"/>
  <c r="BW19" i="18"/>
  <c r="BW11" i="19"/>
  <c r="BO25" i="18"/>
  <c r="BO26" i="18" s="1"/>
  <c r="BP24" i="18" s="1"/>
  <c r="BP29" i="18" s="1"/>
  <c r="BP30" i="18" s="1"/>
  <c r="BO45" i="18"/>
  <c r="BO46" i="18" s="1"/>
  <c r="BO47" i="18" s="1"/>
  <c r="BX17" i="18"/>
  <c r="BZ10" i="18"/>
  <c r="BY41" i="18"/>
  <c r="BY18" i="19" s="1"/>
  <c r="CZ12" i="23" s="1"/>
  <c r="BV20" i="18"/>
  <c r="BW18" i="18"/>
  <c r="BW13" i="18"/>
  <c r="BW14" i="18" s="1"/>
  <c r="AE34" i="18" l="1"/>
  <c r="AE42" i="18" s="1"/>
  <c r="AE43" i="18" s="1"/>
  <c r="AD22" i="19"/>
  <c r="DO19" i="23" s="1"/>
  <c r="DO23" i="23" s="1"/>
  <c r="DO29" i="23" s="1"/>
  <c r="BZ9" i="19"/>
  <c r="BZ9" i="18"/>
  <c r="CA8" i="18" s="1"/>
  <c r="BZ7" i="19"/>
  <c r="BY8" i="19"/>
  <c r="BY6" i="19" s="1"/>
  <c r="FJ17" i="23" s="1"/>
  <c r="BY12" i="18"/>
  <c r="BY11" i="18"/>
  <c r="BY10" i="19" s="1"/>
  <c r="BX19" i="18"/>
  <c r="BX11" i="19"/>
  <c r="BV49" i="18"/>
  <c r="BV13" i="19"/>
  <c r="BW21" i="18"/>
  <c r="BW12" i="19"/>
  <c r="BP45" i="18"/>
  <c r="BP46" i="18" s="1"/>
  <c r="BP47" i="18" s="1"/>
  <c r="BP25" i="18"/>
  <c r="BP26" i="18" s="1"/>
  <c r="BQ24" i="18" s="1"/>
  <c r="BQ29" i="18" s="1"/>
  <c r="BQ30" i="18" s="1"/>
  <c r="BW20" i="18"/>
  <c r="CA10" i="18"/>
  <c r="BZ41" i="18"/>
  <c r="BZ18" i="19" s="1"/>
  <c r="BY17" i="18"/>
  <c r="BX13" i="18"/>
  <c r="BX14" i="18" s="1"/>
  <c r="BX18" i="18"/>
  <c r="AE52" i="18" l="1"/>
  <c r="AE17" i="19"/>
  <c r="CA9" i="19"/>
  <c r="CA9" i="18"/>
  <c r="CB8" i="18" s="1"/>
  <c r="AE19" i="19"/>
  <c r="DP20" i="23" s="1"/>
  <c r="DP24" i="23" s="1"/>
  <c r="AE35" i="18"/>
  <c r="BZ8" i="19"/>
  <c r="BZ6" i="19" s="1"/>
  <c r="FK17" i="23" s="1"/>
  <c r="BZ12" i="18"/>
  <c r="BZ11" i="18"/>
  <c r="BZ10" i="19" s="1"/>
  <c r="BX21" i="18"/>
  <c r="BX12" i="19"/>
  <c r="BY19" i="18"/>
  <c r="BY11" i="19"/>
  <c r="BW49" i="18"/>
  <c r="BW13" i="19"/>
  <c r="BQ25" i="18"/>
  <c r="BQ26" i="18" s="1"/>
  <c r="BR24" i="18" s="1"/>
  <c r="BR29" i="18" s="1"/>
  <c r="BR30" i="18" s="1"/>
  <c r="BQ45" i="18"/>
  <c r="BQ46" i="18" s="1"/>
  <c r="BQ47" i="18" s="1"/>
  <c r="BY18" i="18"/>
  <c r="BY13" i="18"/>
  <c r="BY14" i="18" s="1"/>
  <c r="CA7" i="19"/>
  <c r="BZ17" i="18"/>
  <c r="BX20" i="18"/>
  <c r="CB10" i="18"/>
  <c r="CA41" i="18"/>
  <c r="CA18" i="19" s="1"/>
  <c r="CB9" i="19" l="1"/>
  <c r="CB9" i="18"/>
  <c r="CC8" i="18" s="1"/>
  <c r="CB7" i="19"/>
  <c r="AE20" i="19"/>
  <c r="CA8" i="19"/>
  <c r="CA6" i="19" s="1"/>
  <c r="FL17" i="23" s="1"/>
  <c r="CA12" i="18"/>
  <c r="CA11" i="18"/>
  <c r="CA10" i="19" s="1"/>
  <c r="BX49" i="18"/>
  <c r="BX13" i="19"/>
  <c r="BZ19" i="18"/>
  <c r="BZ11" i="19"/>
  <c r="BY21" i="18"/>
  <c r="BY12" i="19"/>
  <c r="BR25" i="18"/>
  <c r="BR26" i="18" s="1"/>
  <c r="BS24" i="18" s="1"/>
  <c r="BS29" i="18" s="1"/>
  <c r="BS30" i="18" s="1"/>
  <c r="BR45" i="18"/>
  <c r="BR46" i="18" s="1"/>
  <c r="BR47" i="18" s="1"/>
  <c r="CA17" i="18"/>
  <c r="AE36" i="18"/>
  <c r="CC10" i="18"/>
  <c r="CB41" i="18"/>
  <c r="CB18" i="19" s="1"/>
  <c r="BZ13" i="18"/>
  <c r="BZ14" i="18" s="1"/>
  <c r="BZ18" i="18"/>
  <c r="BY20" i="18"/>
  <c r="AF34" i="18" l="1"/>
  <c r="AF42" i="18" s="1"/>
  <c r="AF43" i="18" s="1"/>
  <c r="AE22" i="19"/>
  <c r="DP19" i="23" s="1"/>
  <c r="DP23" i="23" s="1"/>
  <c r="DP29" i="23" s="1"/>
  <c r="CC9" i="19"/>
  <c r="CC9" i="18"/>
  <c r="CC7" i="19"/>
  <c r="CB8" i="19"/>
  <c r="CB6" i="19" s="1"/>
  <c r="FM17" i="23" s="1"/>
  <c r="CB12" i="18"/>
  <c r="CB11" i="18"/>
  <c r="CB10" i="19" s="1"/>
  <c r="BY49" i="18"/>
  <c r="BY13" i="19"/>
  <c r="CA19" i="18"/>
  <c r="CA11" i="19"/>
  <c r="BZ21" i="18"/>
  <c r="BZ12" i="19"/>
  <c r="BS25" i="18"/>
  <c r="BS26" i="18" s="1"/>
  <c r="BT24" i="18" s="1"/>
  <c r="BT29" i="18" s="1"/>
  <c r="BT30" i="18" s="1"/>
  <c r="BS45" i="18"/>
  <c r="BS46" i="18" s="1"/>
  <c r="BS47" i="18" s="1"/>
  <c r="CB17" i="18"/>
  <c r="BZ20" i="18"/>
  <c r="CC41" i="18"/>
  <c r="CC18" i="19" s="1"/>
  <c r="CA13" i="18"/>
  <c r="CA14" i="18" s="1"/>
  <c r="CA18" i="18"/>
  <c r="AF52" i="18" l="1"/>
  <c r="AF17" i="19"/>
  <c r="AF19" i="19"/>
  <c r="DQ20" i="23" s="1"/>
  <c r="DQ24" i="23" s="1"/>
  <c r="CC8" i="19"/>
  <c r="CC6" i="19" s="1"/>
  <c r="FN17" i="23" s="1"/>
  <c r="CC12" i="18"/>
  <c r="CC11" i="18"/>
  <c r="CC10" i="19" s="1"/>
  <c r="CB19" i="18"/>
  <c r="CB11" i="19"/>
  <c r="BZ49" i="18"/>
  <c r="BZ13" i="19"/>
  <c r="CA21" i="18"/>
  <c r="CA12" i="19"/>
  <c r="BT45" i="18"/>
  <c r="BT46" i="18" s="1"/>
  <c r="BT47" i="18" s="1"/>
  <c r="BT25" i="18"/>
  <c r="BT26" i="18" s="1"/>
  <c r="BU24" i="18" s="1"/>
  <c r="BU29" i="18" s="1"/>
  <c r="BU30" i="18" s="1"/>
  <c r="CB13" i="18"/>
  <c r="CB14" i="18" s="1"/>
  <c r="CB18" i="18"/>
  <c r="H55" i="18"/>
  <c r="CC17" i="18"/>
  <c r="CA20" i="18"/>
  <c r="AF20" i="19" l="1"/>
  <c r="AF35" i="18"/>
  <c r="AF36" i="18" s="1"/>
  <c r="CC19" i="18"/>
  <c r="CC11" i="19"/>
  <c r="CA49" i="18"/>
  <c r="CA13" i="19"/>
  <c r="CB21" i="18"/>
  <c r="CB12" i="19"/>
  <c r="BU25" i="18"/>
  <c r="BU26" i="18" s="1"/>
  <c r="BV24" i="18" s="1"/>
  <c r="BV29" i="18" s="1"/>
  <c r="BV30" i="18" s="1"/>
  <c r="BU45" i="18"/>
  <c r="BU46" i="18" s="1"/>
  <c r="BU47" i="18" s="1"/>
  <c r="CC13" i="18"/>
  <c r="CC14" i="18" s="1"/>
  <c r="CC18" i="18"/>
  <c r="CB20" i="18"/>
  <c r="AG34" i="18" l="1"/>
  <c r="AG42" i="18" s="1"/>
  <c r="AG43" i="18" s="1"/>
  <c r="AF22" i="19"/>
  <c r="DQ19" i="23" s="1"/>
  <c r="DQ23" i="23" s="1"/>
  <c r="DQ29" i="23" s="1"/>
  <c r="CB49" i="18"/>
  <c r="CB13" i="19"/>
  <c r="CC21" i="18"/>
  <c r="H21" i="18" s="1"/>
  <c r="I16" i="21" s="1"/>
  <c r="CC12" i="19"/>
  <c r="BV25" i="18"/>
  <c r="BV26" i="18" s="1"/>
  <c r="BW24" i="18" s="1"/>
  <c r="BW29" i="18" s="1"/>
  <c r="BW30" i="18" s="1"/>
  <c r="BV45" i="18"/>
  <c r="BV46" i="18" s="1"/>
  <c r="BV47" i="18" s="1"/>
  <c r="CC20" i="18"/>
  <c r="AG52" i="18" l="1"/>
  <c r="AG17" i="19"/>
  <c r="AG19" i="19"/>
  <c r="DR20" i="23" s="1"/>
  <c r="DR24" i="23" s="1"/>
  <c r="CC49" i="18"/>
  <c r="H50" i="18" s="1"/>
  <c r="I52" i="21" s="1"/>
  <c r="CC13" i="19"/>
  <c r="BW25" i="18"/>
  <c r="BW26" i="18" s="1"/>
  <c r="BX24" i="18" s="1"/>
  <c r="BX29" i="18" s="1"/>
  <c r="BX30" i="18" s="1"/>
  <c r="BW45" i="18"/>
  <c r="BW46" i="18" s="1"/>
  <c r="BW47" i="18" s="1"/>
  <c r="AG20" i="19" l="1"/>
  <c r="AG35" i="18"/>
  <c r="AG36" i="18" s="1"/>
  <c r="BX25" i="18"/>
  <c r="BX26" i="18" s="1"/>
  <c r="BY24" i="18" s="1"/>
  <c r="BY29" i="18" s="1"/>
  <c r="BY30" i="18" s="1"/>
  <c r="BX45" i="18"/>
  <c r="BX46" i="18" s="1"/>
  <c r="BX47" i="18" s="1"/>
  <c r="AH34" i="18" l="1"/>
  <c r="AH42" i="18" s="1"/>
  <c r="AH43" i="18" s="1"/>
  <c r="AG22" i="19"/>
  <c r="DR19" i="23" s="1"/>
  <c r="DR23" i="23" s="1"/>
  <c r="DR29" i="23" s="1"/>
  <c r="BY25" i="18"/>
  <c r="BY26" i="18" s="1"/>
  <c r="BZ24" i="18" s="1"/>
  <c r="BZ29" i="18" s="1"/>
  <c r="BZ30" i="18" s="1"/>
  <c r="BY45" i="18"/>
  <c r="BY46" i="18" s="1"/>
  <c r="BY47" i="18" s="1"/>
  <c r="AH52" i="18" l="1"/>
  <c r="AH17" i="19"/>
  <c r="AH19" i="19"/>
  <c r="DS20" i="23" s="1"/>
  <c r="DS24" i="23" s="1"/>
  <c r="BZ25" i="18"/>
  <c r="BZ26" i="18" s="1"/>
  <c r="CA24" i="18" s="1"/>
  <c r="CA29" i="18" s="1"/>
  <c r="CA30" i="18" s="1"/>
  <c r="BZ45" i="18"/>
  <c r="BZ46" i="18" s="1"/>
  <c r="BZ47" i="18" s="1"/>
  <c r="AH20" i="19" l="1"/>
  <c r="AH35" i="18"/>
  <c r="AH36" i="18" s="1"/>
  <c r="CA25" i="18"/>
  <c r="CA26" i="18" s="1"/>
  <c r="CB24" i="18" s="1"/>
  <c r="CB29" i="18" s="1"/>
  <c r="CB30" i="18" s="1"/>
  <c r="CA45" i="18"/>
  <c r="CA46" i="18" s="1"/>
  <c r="CA47" i="18" s="1"/>
  <c r="AI34" i="18" l="1"/>
  <c r="AI42" i="18" s="1"/>
  <c r="AI43" i="18" s="1"/>
  <c r="AH22" i="19"/>
  <c r="DS19" i="23" s="1"/>
  <c r="DS23" i="23" s="1"/>
  <c r="DS29" i="23" s="1"/>
  <c r="CB45" i="18"/>
  <c r="CB46" i="18" s="1"/>
  <c r="CB47" i="18" s="1"/>
  <c r="CB25" i="18"/>
  <c r="CB26" i="18" s="1"/>
  <c r="CC24" i="18" s="1"/>
  <c r="CC29" i="18" s="1"/>
  <c r="CC30" i="18" s="1"/>
  <c r="AI17" i="19" l="1"/>
  <c r="AI52" i="18"/>
  <c r="AI19" i="19"/>
  <c r="DT20" i="23" s="1"/>
  <c r="DT24" i="23" s="1"/>
  <c r="CC45" i="18"/>
  <c r="CC46" i="18" s="1"/>
  <c r="CC47" i="18" s="1"/>
  <c r="H47" i="18" s="1"/>
  <c r="I40" i="21" s="1"/>
  <c r="AI20" i="19" l="1"/>
  <c r="AI35" i="18"/>
  <c r="AI36" i="18" s="1"/>
  <c r="CC25" i="18"/>
  <c r="CC26" i="18" s="1"/>
  <c r="H27" i="18" s="1"/>
  <c r="H29" i="18"/>
  <c r="I24" i="21" s="1"/>
  <c r="I10" i="21" s="1"/>
  <c r="K39" i="16" s="1"/>
  <c r="M39" i="16" s="1"/>
  <c r="AJ34" i="18" l="1"/>
  <c r="AJ42" i="18" s="1"/>
  <c r="AJ43" i="18" s="1"/>
  <c r="AI22" i="19"/>
  <c r="DT19" i="23" s="1"/>
  <c r="DT23" i="23" s="1"/>
  <c r="DT29" i="23" s="1"/>
  <c r="AJ52" i="18" l="1"/>
  <c r="AJ17" i="19"/>
  <c r="AJ19" i="19"/>
  <c r="DU20" i="23" s="1"/>
  <c r="DU24" i="23" s="1"/>
  <c r="AJ35" i="18"/>
  <c r="AJ20" i="19" l="1"/>
  <c r="AJ36" i="18"/>
  <c r="AK34" i="18" l="1"/>
  <c r="AK42" i="18" s="1"/>
  <c r="AK43" i="18" s="1"/>
  <c r="AJ22" i="19"/>
  <c r="DU19" i="23" s="1"/>
  <c r="DU23" i="23" s="1"/>
  <c r="DU29" i="23" s="1"/>
  <c r="AK52" i="18" l="1"/>
  <c r="AK17" i="19"/>
  <c r="AK19" i="19"/>
  <c r="DV20" i="23" s="1"/>
  <c r="DV24" i="23" s="1"/>
  <c r="AK20" i="19" l="1"/>
  <c r="AK35" i="18"/>
  <c r="AK36" i="18" s="1"/>
  <c r="AL34" i="18" l="1"/>
  <c r="AL42" i="18" s="1"/>
  <c r="AL43" i="18" s="1"/>
  <c r="AK22" i="19"/>
  <c r="DV19" i="23" s="1"/>
  <c r="DV23" i="23" s="1"/>
  <c r="DV29" i="23" s="1"/>
  <c r="AL52" i="18" l="1"/>
  <c r="AL17" i="19"/>
  <c r="AL19" i="19"/>
  <c r="DW20" i="23" s="1"/>
  <c r="DW24" i="23" s="1"/>
  <c r="AL35" i="18"/>
  <c r="AL20" i="19" l="1"/>
  <c r="AL36" i="18"/>
  <c r="AM34" i="18" l="1"/>
  <c r="AM42" i="18" s="1"/>
  <c r="AM43" i="18" s="1"/>
  <c r="AL22" i="19"/>
  <c r="DW19" i="23" s="1"/>
  <c r="DW23" i="23" s="1"/>
  <c r="DW29" i="23" s="1"/>
  <c r="AM52" i="18" l="1"/>
  <c r="AM17" i="19"/>
  <c r="AM19" i="19"/>
  <c r="DX20" i="23" s="1"/>
  <c r="DX24" i="23" s="1"/>
  <c r="AM35" i="18"/>
  <c r="AM20" i="19" l="1"/>
  <c r="AM36" i="18"/>
  <c r="AN34" i="18" l="1"/>
  <c r="AN42" i="18" s="1"/>
  <c r="AN43" i="18" s="1"/>
  <c r="AM22" i="19"/>
  <c r="DX19" i="23" s="1"/>
  <c r="DX23" i="23" s="1"/>
  <c r="DX29" i="23" s="1"/>
  <c r="AN52" i="18" l="1"/>
  <c r="AN17" i="19"/>
  <c r="AN19" i="19"/>
  <c r="DY20" i="23" s="1"/>
  <c r="DY24" i="23" s="1"/>
  <c r="AN20" i="19" l="1"/>
  <c r="AN35" i="18"/>
  <c r="AN36" i="18" s="1"/>
  <c r="AO34" i="18" l="1"/>
  <c r="AO42" i="18" s="1"/>
  <c r="AO43" i="18" s="1"/>
  <c r="AN22" i="19"/>
  <c r="DY19" i="23" s="1"/>
  <c r="DY23" i="23" s="1"/>
  <c r="DY29" i="23" s="1"/>
  <c r="AO52" i="18" l="1"/>
  <c r="AO17" i="19"/>
  <c r="AO19" i="19"/>
  <c r="DZ20" i="23" s="1"/>
  <c r="DZ24" i="23" s="1"/>
  <c r="AO20" i="19" l="1"/>
  <c r="AO35" i="18"/>
  <c r="AO36" i="18" s="1"/>
  <c r="AP34" i="18" l="1"/>
  <c r="AP42" i="18" s="1"/>
  <c r="AP43" i="18" s="1"/>
  <c r="AO22" i="19"/>
  <c r="DZ19" i="23" s="1"/>
  <c r="DZ23" i="23" s="1"/>
  <c r="DZ29" i="23" s="1"/>
  <c r="AP52" i="18" l="1"/>
  <c r="AP17" i="19"/>
  <c r="AP19" i="19"/>
  <c r="EA20" i="23" s="1"/>
  <c r="EA24" i="23" s="1"/>
  <c r="AP35" i="18"/>
  <c r="AP20" i="19" l="1"/>
  <c r="AP36" i="18"/>
  <c r="AQ34" i="18" l="1"/>
  <c r="AQ42" i="18" s="1"/>
  <c r="AQ43" i="18" s="1"/>
  <c r="AP22" i="19"/>
  <c r="EA19" i="23" s="1"/>
  <c r="EA23" i="23" s="1"/>
  <c r="EA29" i="23" s="1"/>
  <c r="AQ52" i="18" l="1"/>
  <c r="AQ17" i="19"/>
  <c r="AQ19" i="19"/>
  <c r="EB20" i="23" s="1"/>
  <c r="EB24" i="23" s="1"/>
  <c r="AQ35" i="18"/>
  <c r="AQ20" i="19" l="1"/>
  <c r="AQ36" i="18"/>
  <c r="AR34" i="18" l="1"/>
  <c r="AR42" i="18" s="1"/>
  <c r="AR43" i="18" s="1"/>
  <c r="AQ22" i="19"/>
  <c r="EB19" i="23" s="1"/>
  <c r="EB23" i="23" s="1"/>
  <c r="EB29" i="23" s="1"/>
  <c r="AR52" i="18" l="1"/>
  <c r="AR17" i="19"/>
  <c r="AR19" i="19"/>
  <c r="EC20" i="23" s="1"/>
  <c r="EC24" i="23" s="1"/>
  <c r="AR35" i="18"/>
  <c r="AR20" i="19" l="1"/>
  <c r="AR36" i="18"/>
  <c r="AS34" i="18" l="1"/>
  <c r="AS42" i="18" s="1"/>
  <c r="AS43" i="18" s="1"/>
  <c r="AR22" i="19"/>
  <c r="EC19" i="23" s="1"/>
  <c r="EC23" i="23" s="1"/>
  <c r="EC29" i="23" s="1"/>
  <c r="AS52" i="18" l="1"/>
  <c r="AS17" i="19"/>
  <c r="AS19" i="19"/>
  <c r="ED20" i="23" s="1"/>
  <c r="ED24" i="23" s="1"/>
  <c r="AS35" i="18"/>
  <c r="AS20" i="19" l="1"/>
  <c r="AS36" i="18"/>
  <c r="AT34" i="18" l="1"/>
  <c r="AT42" i="18" s="1"/>
  <c r="AT43" i="18" s="1"/>
  <c r="AS22" i="19"/>
  <c r="ED19" i="23" s="1"/>
  <c r="ED23" i="23" s="1"/>
  <c r="ED29" i="23" s="1"/>
  <c r="AT52" i="18" l="1"/>
  <c r="AT17" i="19"/>
  <c r="AT19" i="19"/>
  <c r="EE20" i="23" s="1"/>
  <c r="EE24" i="23" s="1"/>
  <c r="AT35" i="18"/>
  <c r="AT20" i="19" l="1"/>
  <c r="AT36" i="18"/>
  <c r="AU34" i="18" l="1"/>
  <c r="AU42" i="18" s="1"/>
  <c r="AU43" i="18" s="1"/>
  <c r="AT22" i="19"/>
  <c r="EE19" i="23" s="1"/>
  <c r="EE23" i="23" s="1"/>
  <c r="EE29" i="23" s="1"/>
  <c r="AU52" i="18" l="1"/>
  <c r="AU17" i="19"/>
  <c r="AU19" i="19"/>
  <c r="EF20" i="23" s="1"/>
  <c r="EF24" i="23" s="1"/>
  <c r="AU35" i="18"/>
  <c r="AU20" i="19" l="1"/>
  <c r="AU36" i="18"/>
  <c r="AV34" i="18" l="1"/>
  <c r="AV42" i="18" s="1"/>
  <c r="AV43" i="18" s="1"/>
  <c r="AU22" i="19"/>
  <c r="EF19" i="23" s="1"/>
  <c r="EF23" i="23" s="1"/>
  <c r="EF29" i="23" s="1"/>
  <c r="AV52" i="18" l="1"/>
  <c r="AV17" i="19"/>
  <c r="AV19" i="19"/>
  <c r="EG20" i="23" s="1"/>
  <c r="EG24" i="23" s="1"/>
  <c r="AV35" i="18"/>
  <c r="AV20" i="19" l="1"/>
  <c r="AV36" i="18"/>
  <c r="AW34" i="18" l="1"/>
  <c r="AW42" i="18" s="1"/>
  <c r="AW43" i="18" s="1"/>
  <c r="AV22" i="19"/>
  <c r="EG19" i="23" s="1"/>
  <c r="EG23" i="23" s="1"/>
  <c r="EG29" i="23" s="1"/>
  <c r="AW52" i="18" l="1"/>
  <c r="AW17" i="19"/>
  <c r="AW19" i="19"/>
  <c r="EH20" i="23" s="1"/>
  <c r="EH24" i="23" s="1"/>
  <c r="AW35" i="18"/>
  <c r="AW20" i="19" l="1"/>
  <c r="AW36" i="18"/>
  <c r="AX34" i="18" l="1"/>
  <c r="AX42" i="18" s="1"/>
  <c r="AX43" i="18" s="1"/>
  <c r="AW22" i="19"/>
  <c r="EH19" i="23" s="1"/>
  <c r="EH23" i="23" s="1"/>
  <c r="EH29" i="23" s="1"/>
  <c r="AX52" i="18" l="1"/>
  <c r="AX17" i="19"/>
  <c r="AX19" i="19"/>
  <c r="EI20" i="23" s="1"/>
  <c r="EI24" i="23" s="1"/>
  <c r="AX35" i="18"/>
  <c r="AX20" i="19" l="1"/>
  <c r="AX36" i="18"/>
  <c r="AY34" i="18" l="1"/>
  <c r="AY42" i="18" s="1"/>
  <c r="AY43" i="18" s="1"/>
  <c r="AX22" i="19"/>
  <c r="EI19" i="23" s="1"/>
  <c r="EI23" i="23" s="1"/>
  <c r="EI29" i="23" s="1"/>
  <c r="AY52" i="18" l="1"/>
  <c r="AY17" i="19"/>
  <c r="AY19" i="19"/>
  <c r="EJ20" i="23" s="1"/>
  <c r="EJ24" i="23" s="1"/>
  <c r="AY35" i="18"/>
  <c r="AY20" i="19" l="1"/>
  <c r="AY36" i="18"/>
  <c r="AZ34" i="18" l="1"/>
  <c r="AZ42" i="18" s="1"/>
  <c r="AZ43" i="18" s="1"/>
  <c r="AY22" i="19"/>
  <c r="EJ19" i="23" s="1"/>
  <c r="EJ23" i="23" s="1"/>
  <c r="EJ29" i="23" s="1"/>
  <c r="AZ52" i="18" l="1"/>
  <c r="AZ17" i="19"/>
  <c r="AZ19" i="19"/>
  <c r="EK20" i="23" s="1"/>
  <c r="EK24" i="23" s="1"/>
  <c r="AZ20" i="19" l="1"/>
  <c r="AZ35" i="18"/>
  <c r="AZ36" i="18" s="1"/>
  <c r="BA34" i="18" l="1"/>
  <c r="BA42" i="18" s="1"/>
  <c r="BA43" i="18" s="1"/>
  <c r="AZ22" i="19"/>
  <c r="EK19" i="23" s="1"/>
  <c r="EK23" i="23" s="1"/>
  <c r="EK29" i="23" s="1"/>
  <c r="BA52" i="18" l="1"/>
  <c r="BA17" i="19"/>
  <c r="BA19" i="19"/>
  <c r="EL20" i="23" s="1"/>
  <c r="EL24" i="23" s="1"/>
  <c r="BA20" i="19" l="1"/>
  <c r="BA35" i="18"/>
  <c r="BA36" i="18" s="1"/>
  <c r="BB34" i="18" l="1"/>
  <c r="BB42" i="18" s="1"/>
  <c r="BB43" i="18" s="1"/>
  <c r="BA22" i="19"/>
  <c r="EL19" i="23" s="1"/>
  <c r="EL23" i="23" s="1"/>
  <c r="EL29" i="23" s="1"/>
  <c r="BB52" i="18" l="1"/>
  <c r="BB17" i="19"/>
  <c r="BB19" i="19"/>
  <c r="EM20" i="23" s="1"/>
  <c r="EM24" i="23" s="1"/>
  <c r="BB20" i="19" l="1"/>
  <c r="BB35" i="18"/>
  <c r="BB36" i="18" s="1"/>
  <c r="BC34" i="18" l="1"/>
  <c r="BC42" i="18" s="1"/>
  <c r="BC43" i="18" s="1"/>
  <c r="BB22" i="19"/>
  <c r="EM19" i="23" s="1"/>
  <c r="EM23" i="23" s="1"/>
  <c r="EM29" i="23" s="1"/>
  <c r="BC52" i="18" l="1"/>
  <c r="BC17" i="19"/>
  <c r="BC19" i="19"/>
  <c r="EN20" i="23" s="1"/>
  <c r="EN24" i="23" s="1"/>
  <c r="BC20" i="19" l="1"/>
  <c r="BC35" i="18"/>
  <c r="BC36" i="18" s="1"/>
  <c r="BD34" i="18" l="1"/>
  <c r="BD42" i="18" s="1"/>
  <c r="BD43" i="18" s="1"/>
  <c r="BC22" i="19"/>
  <c r="EN19" i="23" s="1"/>
  <c r="EN23" i="23" s="1"/>
  <c r="EN29" i="23" s="1"/>
  <c r="BD17" i="19" l="1"/>
  <c r="BD52" i="18"/>
  <c r="BD19" i="19"/>
  <c r="EO20" i="23" s="1"/>
  <c r="EO24" i="23" s="1"/>
  <c r="BD20" i="19" l="1"/>
  <c r="BD35" i="18"/>
  <c r="BD36" i="18" s="1"/>
  <c r="BE34" i="18" l="1"/>
  <c r="BE42" i="18" s="1"/>
  <c r="BE43" i="18" s="1"/>
  <c r="BD22" i="19"/>
  <c r="EO19" i="23" s="1"/>
  <c r="EO23" i="23" s="1"/>
  <c r="EO29" i="23" s="1"/>
  <c r="BE52" i="18" l="1"/>
  <c r="BE17" i="19"/>
  <c r="BE19" i="19"/>
  <c r="EP20" i="23" s="1"/>
  <c r="EP24" i="23" s="1"/>
  <c r="BE20" i="19" l="1"/>
  <c r="BE35" i="18"/>
  <c r="BE36" i="18" s="1"/>
  <c r="BF34" i="18" l="1"/>
  <c r="BF42" i="18" s="1"/>
  <c r="BF43" i="18" s="1"/>
  <c r="BE22" i="19"/>
  <c r="EP19" i="23" s="1"/>
  <c r="EP23" i="23" s="1"/>
  <c r="EP29" i="23" s="1"/>
  <c r="BF52" i="18" l="1"/>
  <c r="BF17" i="19"/>
  <c r="BF19" i="19"/>
  <c r="EQ20" i="23" s="1"/>
  <c r="EQ24" i="23" s="1"/>
  <c r="BF20" i="19" l="1"/>
  <c r="BF35" i="18"/>
  <c r="BF36" i="18" s="1"/>
  <c r="BG34" i="18" l="1"/>
  <c r="BG42" i="18" s="1"/>
  <c r="BG43" i="18" s="1"/>
  <c r="BF22" i="19"/>
  <c r="EQ19" i="23" s="1"/>
  <c r="EQ23" i="23" s="1"/>
  <c r="EQ29" i="23" s="1"/>
  <c r="BG52" i="18" l="1"/>
  <c r="BG17" i="19"/>
  <c r="BG19" i="19"/>
  <c r="ER20" i="23" s="1"/>
  <c r="ER24" i="23" s="1"/>
  <c r="BG35" i="18"/>
  <c r="BG20" i="19" l="1"/>
  <c r="BG36" i="18"/>
  <c r="BH34" i="18" l="1"/>
  <c r="BH42" i="18" s="1"/>
  <c r="BH43" i="18" s="1"/>
  <c r="BG22" i="19"/>
  <c r="ER19" i="23" s="1"/>
  <c r="ER23" i="23" s="1"/>
  <c r="ER29" i="23" s="1"/>
  <c r="BH52" i="18" l="1"/>
  <c r="BH17" i="19"/>
  <c r="BH19" i="19"/>
  <c r="ES20" i="23" s="1"/>
  <c r="ES24" i="23" s="1"/>
  <c r="BH20" i="19" l="1"/>
  <c r="BH35" i="18"/>
  <c r="BH36" i="18" s="1"/>
  <c r="BI34" i="18" l="1"/>
  <c r="BI42" i="18" s="1"/>
  <c r="BI43" i="18" s="1"/>
  <c r="BH22" i="19"/>
  <c r="ES19" i="23" s="1"/>
  <c r="ES23" i="23" s="1"/>
  <c r="ES29" i="23" s="1"/>
  <c r="BI52" i="18" l="1"/>
  <c r="BI17" i="19"/>
  <c r="BI19" i="19"/>
  <c r="ET20" i="23" s="1"/>
  <c r="ET24" i="23" s="1"/>
  <c r="BI35" i="18"/>
  <c r="BI20" i="19" l="1"/>
  <c r="BI36" i="18"/>
  <c r="BJ34" i="18" l="1"/>
  <c r="BJ42" i="18" s="1"/>
  <c r="BJ43" i="18" s="1"/>
  <c r="BI22" i="19"/>
  <c r="ET19" i="23" s="1"/>
  <c r="ET23" i="23" s="1"/>
  <c r="ET29" i="23" s="1"/>
  <c r="BJ52" i="18" l="1"/>
  <c r="BJ17" i="19"/>
  <c r="BJ19" i="19"/>
  <c r="EU20" i="23" s="1"/>
  <c r="EU24" i="23" s="1"/>
  <c r="BJ35" i="18"/>
  <c r="BJ20" i="19" l="1"/>
  <c r="BJ36" i="18"/>
  <c r="BK34" i="18" l="1"/>
  <c r="BK42" i="18" s="1"/>
  <c r="BK43" i="18" s="1"/>
  <c r="BJ22" i="19"/>
  <c r="EU19" i="23" s="1"/>
  <c r="EU23" i="23" s="1"/>
  <c r="EU29" i="23" s="1"/>
  <c r="BK52" i="18" l="1"/>
  <c r="BK17" i="19"/>
  <c r="BK19" i="19"/>
  <c r="EV20" i="23" s="1"/>
  <c r="EV24" i="23" s="1"/>
  <c r="BK35" i="18"/>
  <c r="BK20" i="19" l="1"/>
  <c r="BK36" i="18"/>
  <c r="BL34" i="18" l="1"/>
  <c r="BL42" i="18" s="1"/>
  <c r="BL43" i="18" s="1"/>
  <c r="BK22" i="19"/>
  <c r="EV19" i="23" s="1"/>
  <c r="EV23" i="23" s="1"/>
  <c r="EV29" i="23" s="1"/>
  <c r="BL17" i="19" l="1"/>
  <c r="BL52" i="18"/>
  <c r="BL19" i="19"/>
  <c r="EW20" i="23" s="1"/>
  <c r="EW24" i="23" s="1"/>
  <c r="BL20" i="19" l="1"/>
  <c r="BL35" i="18"/>
  <c r="BL36" i="18" s="1"/>
  <c r="BM34" i="18" l="1"/>
  <c r="BM42" i="18" s="1"/>
  <c r="BM43" i="18" s="1"/>
  <c r="BL22" i="19"/>
  <c r="EW19" i="23" s="1"/>
  <c r="EW23" i="23" s="1"/>
  <c r="EW29" i="23" s="1"/>
  <c r="BM52" i="18" l="1"/>
  <c r="BM17" i="19"/>
  <c r="BM19" i="19"/>
  <c r="EX20" i="23" s="1"/>
  <c r="EX24" i="23" s="1"/>
  <c r="BM35" i="18"/>
  <c r="BM20" i="19" l="1"/>
  <c r="BM36" i="18"/>
  <c r="BN34" i="18" l="1"/>
  <c r="BN42" i="18" s="1"/>
  <c r="BN43" i="18" s="1"/>
  <c r="BM22" i="19"/>
  <c r="EX19" i="23" s="1"/>
  <c r="EX23" i="23" s="1"/>
  <c r="EX29" i="23" s="1"/>
  <c r="BN52" i="18" l="1"/>
  <c r="BN17" i="19"/>
  <c r="BN19" i="19"/>
  <c r="EY20" i="23" s="1"/>
  <c r="EY24" i="23" s="1"/>
  <c r="BN20" i="19" l="1"/>
  <c r="BN35" i="18"/>
  <c r="BN36" i="18" s="1"/>
  <c r="BO34" i="18" l="1"/>
  <c r="BO42" i="18" s="1"/>
  <c r="BO43" i="18" s="1"/>
  <c r="BN22" i="19"/>
  <c r="EY19" i="23" s="1"/>
  <c r="EY23" i="23" s="1"/>
  <c r="EY29" i="23" s="1"/>
  <c r="BO52" i="18" l="1"/>
  <c r="BO17" i="19"/>
  <c r="BO19" i="19"/>
  <c r="EZ20" i="23" s="1"/>
  <c r="EZ24" i="23" s="1"/>
  <c r="BO35" i="18"/>
  <c r="BO20" i="19" l="1"/>
  <c r="BO36" i="18"/>
  <c r="BP34" i="18" l="1"/>
  <c r="BP42" i="18" s="1"/>
  <c r="BP43" i="18" s="1"/>
  <c r="BO22" i="19"/>
  <c r="EZ19" i="23" s="1"/>
  <c r="EZ23" i="23" s="1"/>
  <c r="EZ29" i="23" s="1"/>
  <c r="BP52" i="18" l="1"/>
  <c r="BP17" i="19"/>
  <c r="BP19" i="19"/>
  <c r="FA20" i="23" s="1"/>
  <c r="FA24" i="23" s="1"/>
  <c r="BP20" i="19" l="1"/>
  <c r="BP35" i="18"/>
  <c r="BP36" i="18" s="1"/>
  <c r="BQ34" i="18" l="1"/>
  <c r="BQ42" i="18" s="1"/>
  <c r="BQ43" i="18" s="1"/>
  <c r="BP22" i="19"/>
  <c r="FA19" i="23" s="1"/>
  <c r="FA23" i="23" s="1"/>
  <c r="FA29" i="23" s="1"/>
  <c r="BQ52" i="18" l="1"/>
  <c r="BQ17" i="19"/>
  <c r="BQ19" i="19"/>
  <c r="FB20" i="23" s="1"/>
  <c r="FB24" i="23" s="1"/>
  <c r="BQ20" i="19" l="1"/>
  <c r="BQ35" i="18"/>
  <c r="BQ36" i="18" s="1"/>
  <c r="BR34" i="18" l="1"/>
  <c r="BR42" i="18" s="1"/>
  <c r="BR43" i="18" s="1"/>
  <c r="BQ22" i="19"/>
  <c r="FB19" i="23" s="1"/>
  <c r="FB23" i="23" s="1"/>
  <c r="FB29" i="23" s="1"/>
  <c r="BR52" i="18" l="1"/>
  <c r="BR17" i="19"/>
  <c r="BR19" i="19"/>
  <c r="FC20" i="23" s="1"/>
  <c r="FC24" i="23" s="1"/>
  <c r="BR20" i="19" l="1"/>
  <c r="BR35" i="18"/>
  <c r="BR36" i="18" s="1"/>
  <c r="BS34" i="18" l="1"/>
  <c r="BS42" i="18" s="1"/>
  <c r="BS43" i="18" s="1"/>
  <c r="BR22" i="19"/>
  <c r="FC19" i="23" s="1"/>
  <c r="FC23" i="23" s="1"/>
  <c r="FC29" i="23" s="1"/>
  <c r="BS52" i="18" l="1"/>
  <c r="BS17" i="19"/>
  <c r="BS19" i="19"/>
  <c r="FD20" i="23" s="1"/>
  <c r="FD24" i="23" s="1"/>
  <c r="BS35" i="18"/>
  <c r="BS20" i="19" l="1"/>
  <c r="BS36" i="18"/>
  <c r="BT34" i="18" l="1"/>
  <c r="BT42" i="18" s="1"/>
  <c r="BT43" i="18" s="1"/>
  <c r="BS22" i="19"/>
  <c r="FD19" i="23" s="1"/>
  <c r="FD23" i="23" s="1"/>
  <c r="FD29" i="23" s="1"/>
  <c r="BT52" i="18" l="1"/>
  <c r="BT17" i="19"/>
  <c r="CU11" i="23"/>
  <c r="BT19" i="19"/>
  <c r="BT35" i="18"/>
  <c r="CU13" i="23" l="1"/>
  <c r="FE20" i="23"/>
  <c r="FE24" i="23" s="1"/>
  <c r="BT20" i="19"/>
  <c r="CU14" i="23" s="1"/>
  <c r="BT36" i="18"/>
  <c r="BU34" i="18" l="1"/>
  <c r="BU42" i="18" s="1"/>
  <c r="BU43" i="18" s="1"/>
  <c r="BT22" i="19"/>
  <c r="FE19" i="23" s="1"/>
  <c r="FE23" i="23" s="1"/>
  <c r="FE29" i="23" s="1"/>
  <c r="BU52" i="18" l="1"/>
  <c r="BU17" i="19"/>
  <c r="CV11" i="23"/>
  <c r="BU19" i="19"/>
  <c r="BU35" i="18"/>
  <c r="CV13" i="23" l="1"/>
  <c r="FF20" i="23"/>
  <c r="FF24" i="23" s="1"/>
  <c r="BU20" i="19"/>
  <c r="CV14" i="23" s="1"/>
  <c r="BU36" i="18"/>
  <c r="BV34" i="18" l="1"/>
  <c r="BV42" i="18" s="1"/>
  <c r="BV43" i="18" s="1"/>
  <c r="BU22" i="19"/>
  <c r="FF19" i="23" s="1"/>
  <c r="FF23" i="23" s="1"/>
  <c r="FF29" i="23" s="1"/>
  <c r="BV52" i="18" l="1"/>
  <c r="BV17" i="19"/>
  <c r="CW11" i="23"/>
  <c r="BV19" i="19"/>
  <c r="BV35" i="18"/>
  <c r="CW13" i="23" l="1"/>
  <c r="FG20" i="23"/>
  <c r="FG24" i="23" s="1"/>
  <c r="BV20" i="19"/>
  <c r="CW14" i="23" s="1"/>
  <c r="BV36" i="18"/>
  <c r="BW34" i="18" l="1"/>
  <c r="BW42" i="18" s="1"/>
  <c r="BW43" i="18" s="1"/>
  <c r="BV22" i="19"/>
  <c r="FG19" i="23" s="1"/>
  <c r="FG23" i="23" s="1"/>
  <c r="FG29" i="23" s="1"/>
  <c r="BW52" i="18" l="1"/>
  <c r="BW17" i="19"/>
  <c r="CX11" i="23"/>
  <c r="BW19" i="19"/>
  <c r="BW35" i="18"/>
  <c r="CX13" i="23" l="1"/>
  <c r="FH20" i="23"/>
  <c r="FH24" i="23" s="1"/>
  <c r="BW20" i="19"/>
  <c r="CX14" i="23" s="1"/>
  <c r="BW36" i="18"/>
  <c r="BX34" i="18" l="1"/>
  <c r="BX42" i="18" s="1"/>
  <c r="BX43" i="18" s="1"/>
  <c r="BW22" i="19"/>
  <c r="FH19" i="23" s="1"/>
  <c r="FH23" i="23" s="1"/>
  <c r="FH29" i="23" s="1"/>
  <c r="BX52" i="18" l="1"/>
  <c r="BX17" i="19"/>
  <c r="CY11" i="23"/>
  <c r="BX19" i="19"/>
  <c r="BX35" i="18"/>
  <c r="CY13" i="23" l="1"/>
  <c r="FI20" i="23"/>
  <c r="FI24" i="23" s="1"/>
  <c r="BX20" i="19"/>
  <c r="CY14" i="23" s="1"/>
  <c r="BX36" i="18"/>
  <c r="BY34" i="18" l="1"/>
  <c r="BY42" i="18" s="1"/>
  <c r="BY43" i="18" s="1"/>
  <c r="BX22" i="19"/>
  <c r="FI19" i="23" s="1"/>
  <c r="FI23" i="23" s="1"/>
  <c r="FI29" i="23" s="1"/>
  <c r="BY52" i="18" l="1"/>
  <c r="BY17" i="19"/>
  <c r="CZ11" i="23"/>
  <c r="BY19" i="19"/>
  <c r="BY35" i="18"/>
  <c r="CZ13" i="23" l="1"/>
  <c r="FJ20" i="23"/>
  <c r="FJ24" i="23" s="1"/>
  <c r="BY20" i="19"/>
  <c r="CZ14" i="23" s="1"/>
  <c r="BY36" i="18"/>
  <c r="BZ34" i="18" l="1"/>
  <c r="BZ42" i="18" s="1"/>
  <c r="BZ43" i="18" s="1"/>
  <c r="BY22" i="19"/>
  <c r="FJ19" i="23" s="1"/>
  <c r="FJ23" i="23" s="1"/>
  <c r="FJ29" i="23" s="1"/>
  <c r="BZ52" i="18" l="1"/>
  <c r="BZ17" i="19"/>
  <c r="BZ19" i="19"/>
  <c r="FK20" i="23" s="1"/>
  <c r="FK24" i="23" s="1"/>
  <c r="BZ35" i="18"/>
  <c r="BZ20" i="19" l="1"/>
  <c r="BZ36" i="18"/>
  <c r="CA34" i="18" l="1"/>
  <c r="CA42" i="18" s="1"/>
  <c r="CA43" i="18" s="1"/>
  <c r="BZ22" i="19"/>
  <c r="FK19" i="23" s="1"/>
  <c r="FK23" i="23" s="1"/>
  <c r="FK29" i="23" s="1"/>
  <c r="CA52" i="18" l="1"/>
  <c r="CA17" i="19"/>
  <c r="CA19" i="19"/>
  <c r="FL20" i="23" s="1"/>
  <c r="FL24" i="23" s="1"/>
  <c r="CA35" i="18"/>
  <c r="CA20" i="19" l="1"/>
  <c r="CA36" i="18"/>
  <c r="CB34" i="18" l="1"/>
  <c r="CB42" i="18" s="1"/>
  <c r="CB43" i="18" s="1"/>
  <c r="CA22" i="19"/>
  <c r="FL19" i="23" s="1"/>
  <c r="FL23" i="23" s="1"/>
  <c r="FL29" i="23" s="1"/>
  <c r="CB52" i="18" l="1"/>
  <c r="CB17" i="19"/>
  <c r="CB19" i="19"/>
  <c r="FM20" i="23" s="1"/>
  <c r="FM24" i="23" s="1"/>
  <c r="CB35" i="18"/>
  <c r="CB20" i="19" l="1"/>
  <c r="CB36" i="18"/>
  <c r="CB22" i="19" s="1"/>
  <c r="FM19" i="23" s="1"/>
  <c r="FM23" i="23" s="1"/>
  <c r="FM29" i="23" s="1"/>
  <c r="CC34" i="18" l="1"/>
  <c r="CC42" i="18" s="1"/>
  <c r="CC43" i="18" s="1"/>
  <c r="CC35" i="18" l="1"/>
  <c r="CC36" i="18" s="1"/>
  <c r="CC52" i="18"/>
  <c r="H53" i="18" s="1"/>
  <c r="I68" i="21" s="1"/>
  <c r="CC17" i="19"/>
  <c r="H42" i="18"/>
  <c r="CC37" i="18" l="1"/>
  <c r="CC22" i="19"/>
  <c r="FN19" i="23" s="1"/>
  <c r="FN23" i="23" s="1"/>
  <c r="FN29" i="23" s="1"/>
  <c r="H40" i="18"/>
  <c r="F40" i="18" s="1"/>
  <c r="L14" i="17" s="1"/>
  <c r="H56" i="18"/>
  <c r="H57" i="18" s="1"/>
  <c r="I76" i="21" s="1"/>
  <c r="I46" i="21" s="1"/>
  <c r="K40" i="16" s="1"/>
  <c r="M40" i="16" s="1"/>
  <c r="M42" i="16" s="1"/>
  <c r="CC19" i="19"/>
  <c r="FN20" i="23" s="1"/>
  <c r="CC20" i="19"/>
  <c r="H43" i="18"/>
  <c r="I32" i="16" l="1"/>
  <c r="I33" i="16"/>
  <c r="L15" i="17"/>
  <c r="CU25" i="23"/>
  <c r="FN24" i="23"/>
  <c r="K21" i="16"/>
  <c r="M21" i="16" s="1"/>
  <c r="O4" i="18" l="1"/>
  <c r="FN30" i="23"/>
  <c r="CU30" i="23"/>
  <c r="CV30" i="23"/>
  <c r="CW30" i="23"/>
  <c r="CX30" i="23"/>
  <c r="CY30" i="23"/>
  <c r="CZ30" i="23"/>
  <c r="DA30" i="23"/>
  <c r="DB30" i="23"/>
  <c r="DC30" i="23"/>
  <c r="DD30" i="23"/>
  <c r="DE30" i="23"/>
  <c r="DF30" i="23"/>
  <c r="DG30" i="23"/>
  <c r="DH30" i="23"/>
  <c r="DI30" i="23"/>
  <c r="DJ30" i="23"/>
  <c r="DK30" i="23"/>
  <c r="DL30" i="23"/>
  <c r="DM30" i="23"/>
  <c r="DN30" i="23"/>
  <c r="DO30" i="23"/>
  <c r="DP30" i="23"/>
  <c r="DQ30" i="23"/>
  <c r="DR30" i="23"/>
  <c r="DS30" i="23"/>
  <c r="DT30" i="23"/>
  <c r="DU30" i="23"/>
  <c r="DV30" i="23"/>
  <c r="DW30" i="23"/>
  <c r="DX30" i="23"/>
  <c r="DY30" i="23"/>
  <c r="DZ30" i="23"/>
  <c r="EA30" i="23"/>
  <c r="EB30" i="23"/>
  <c r="EC30" i="23"/>
  <c r="ED30" i="23"/>
  <c r="EE30" i="23"/>
  <c r="EF30" i="23"/>
  <c r="EG30" i="23"/>
  <c r="EH30" i="23"/>
  <c r="EI30" i="23"/>
  <c r="EJ30" i="23"/>
  <c r="EK30" i="23"/>
  <c r="EL30" i="23"/>
  <c r="EM30" i="23"/>
  <c r="EN30" i="23"/>
  <c r="EO30" i="23"/>
  <c r="EP30" i="23"/>
  <c r="EQ30" i="23"/>
  <c r="ER30" i="23"/>
  <c r="ES30" i="23"/>
  <c r="ET30" i="23"/>
  <c r="EU30" i="23"/>
  <c r="EV30" i="23"/>
  <c r="EW30" i="23"/>
  <c r="EX30" i="23"/>
  <c r="EY30" i="23"/>
  <c r="EZ30" i="23"/>
  <c r="FA30" i="23"/>
  <c r="FB30" i="23"/>
  <c r="FC30" i="23"/>
  <c r="FD30" i="23"/>
  <c r="FE30" i="23"/>
  <c r="FF30" i="23"/>
  <c r="FG30" i="23"/>
  <c r="FH30" i="23"/>
  <c r="FI30" i="23"/>
  <c r="FJ30" i="23"/>
  <c r="FK30" i="23"/>
  <c r="FL30" i="23"/>
  <c r="FM30" i="23"/>
  <c r="K20" i="16"/>
  <c r="M20" i="16" s="1"/>
  <c r="M23" i="16" s="1"/>
  <c r="I13" i="16" s="1"/>
  <c r="I14" i="16" l="1"/>
  <c r="C10" i="5" l="1"/>
  <c r="B2" i="23" l="1"/>
  <c r="B2" i="17"/>
  <c r="C11" i="7"/>
  <c r="B2" i="16"/>
  <c r="B2" i="14"/>
  <c r="C11" i="10"/>
  <c r="B2" i="18"/>
  <c r="B2" i="19"/>
  <c r="C11" i="12"/>
  <c r="B2" i="21"/>
  <c r="B2" i="6"/>
</calcChain>
</file>

<file path=xl/comments1.xml><?xml version="1.0" encoding="utf-8"?>
<comments xmlns="http://schemas.openxmlformats.org/spreadsheetml/2006/main">
  <authors>
    <author>Lance Rubin</author>
  </authors>
  <commentList>
    <comment ref="L15" authorId="0">
      <text>
        <r>
          <rPr>
            <b/>
            <sz val="9"/>
            <color indexed="81"/>
            <rFont val="Tahoma"/>
            <family val="2"/>
          </rPr>
          <t xml:space="preserve">Error Check
</t>
        </r>
        <r>
          <rPr>
            <sz val="9"/>
            <color indexed="81"/>
            <rFont val="Tahoma"/>
            <family val="2"/>
          </rPr>
          <t>Flags the existence of errors.</t>
        </r>
      </text>
    </comment>
  </commentList>
</comments>
</file>

<file path=xl/comments2.xml><?xml version="1.0" encoding="utf-8"?>
<comments xmlns="http://schemas.openxmlformats.org/spreadsheetml/2006/main">
  <authors>
    <author>Lance Rubin</author>
  </authors>
  <commentList>
    <comment ref="CC37" authorId="0">
      <text>
        <r>
          <rPr>
            <b/>
            <sz val="9"/>
            <color indexed="81"/>
            <rFont val="Tahoma"/>
            <family val="2"/>
          </rPr>
          <t xml:space="preserve">Error Check
</t>
        </r>
        <r>
          <rPr>
            <sz val="9"/>
            <color indexed="81"/>
            <rFont val="Tahoma"/>
            <family val="2"/>
          </rPr>
          <t>Flags the existence of errors.</t>
        </r>
      </text>
    </comment>
  </commentList>
</comments>
</file>

<file path=xl/comments3.xml><?xml version="1.0" encoding="utf-8"?>
<comments xmlns="http://schemas.openxmlformats.org/spreadsheetml/2006/main">
  <authors>
    <author>Lance Rubin</author>
  </authors>
  <commentList>
    <comment ref="I10" authorId="0">
      <text>
        <r>
          <rPr>
            <b/>
            <sz val="9"/>
            <color indexed="81"/>
            <rFont val="Tahoma"/>
            <family val="2"/>
          </rPr>
          <t xml:space="preserve">Alert Check
</t>
        </r>
        <r>
          <rPr>
            <sz val="9"/>
            <color indexed="81"/>
            <rFont val="Tahoma"/>
            <family val="2"/>
          </rPr>
          <t>Flags the occurrence of designated events.</t>
        </r>
      </text>
    </comment>
    <comment ref="I46" authorId="0">
      <text>
        <r>
          <rPr>
            <b/>
            <sz val="9"/>
            <color indexed="81"/>
            <rFont val="Tahoma"/>
            <family val="2"/>
          </rPr>
          <t xml:space="preserve">Alert Check
</t>
        </r>
        <r>
          <rPr>
            <sz val="9"/>
            <color indexed="81"/>
            <rFont val="Tahoma"/>
            <family val="2"/>
          </rPr>
          <t>Flags the occurrence of designated events.</t>
        </r>
      </text>
    </comment>
  </commentList>
</comments>
</file>

<file path=xl/sharedStrings.xml><?xml version="1.0" encoding="utf-8"?>
<sst xmlns="http://schemas.openxmlformats.org/spreadsheetml/2006/main" count="353" uniqueCount="242">
  <si>
    <t>Loan 1</t>
  </si>
  <si>
    <t>Loan Amount</t>
  </si>
  <si>
    <t>Drawdown Date</t>
  </si>
  <si>
    <t>Interest Rate</t>
  </si>
  <si>
    <t>Loan 2</t>
  </si>
  <si>
    <t>Additional Assumptions</t>
  </si>
  <si>
    <t>Days in year</t>
  </si>
  <si>
    <t>days_in_yr</t>
  </si>
  <si>
    <t>mths_in_year</t>
  </si>
  <si>
    <t>Months in a year</t>
  </si>
  <si>
    <t>Loan Assumption selection</t>
  </si>
  <si>
    <t>Loan selection range</t>
  </si>
  <si>
    <t>Loan payment</t>
  </si>
  <si>
    <t>Period start date (loan draw down)</t>
  </si>
  <si>
    <t>Period counter</t>
  </si>
  <si>
    <t>Days in month</t>
  </si>
  <si>
    <t>Non business days</t>
  </si>
  <si>
    <t>Opening loan balance</t>
  </si>
  <si>
    <t>Closing loan balance</t>
  </si>
  <si>
    <t>Interest charged</t>
  </si>
  <si>
    <t>int</t>
  </si>
  <si>
    <t>pmt</t>
  </si>
  <si>
    <t>Less payment (using pmt calculation)</t>
  </si>
  <si>
    <t>Using goal seek</t>
  </si>
  <si>
    <t>Repayments</t>
  </si>
  <si>
    <t>Payment</t>
  </si>
  <si>
    <t>Less payment - using goal seek</t>
  </si>
  <si>
    <t>Closing balance</t>
  </si>
  <si>
    <t>Current</t>
  </si>
  <si>
    <t>Target</t>
  </si>
  <si>
    <t>Diff</t>
  </si>
  <si>
    <t>Ending balance</t>
  </si>
  <si>
    <t>term</t>
  </si>
  <si>
    <t>Total payments</t>
  </si>
  <si>
    <t>Total interest payment</t>
  </si>
  <si>
    <t>Ratio of interest to total</t>
  </si>
  <si>
    <t>Question 1</t>
  </si>
  <si>
    <t>For Loan 1, how many of the 72 Regular Payment Dates are not Business Days?</t>
  </si>
  <si>
    <t>Output</t>
  </si>
  <si>
    <t>C</t>
  </si>
  <si>
    <t>Question 2</t>
  </si>
  <si>
    <t>For Loan 1, the total interest paid over the life of the loan is closest to:</t>
  </si>
  <si>
    <t>Question 3</t>
  </si>
  <si>
    <t>For Loan 1, the Monthly Payment Amount ends in what number of cents (rounded to the nearest</t>
  </si>
  <si>
    <t>cent)?</t>
  </si>
  <si>
    <t>Question 4</t>
  </si>
  <si>
    <t>For Loan 1, after how many payments does the outstanding loan balance first drop below 40% of</t>
  </si>
  <si>
    <t>the original drawdown value?</t>
  </si>
  <si>
    <t>Question 5</t>
  </si>
  <si>
    <t>For Loan 2, how many interest periods have exactly 31 days?</t>
  </si>
  <si>
    <t>Question 6</t>
  </si>
  <si>
    <t>For Loan 2, the Monthly Payment Amount is:</t>
  </si>
  <si>
    <t>Question 7</t>
  </si>
  <si>
    <t>For Loan 2, the loan balance immediately after the 12th payment on 30 June 2016 is:</t>
  </si>
  <si>
    <t>Question 8</t>
  </si>
  <si>
    <t>For Loan 2, what proportion of total payments made over the life of the loan are interest payments,</t>
  </si>
  <si>
    <t>rounded to the nearest percent? [5 marks]</t>
  </si>
  <si>
    <t>D</t>
  </si>
  <si>
    <t>A</t>
  </si>
  <si>
    <t>B</t>
  </si>
  <si>
    <t>Holidays</t>
  </si>
  <si>
    <t>Loan balance after payment number</t>
  </si>
  <si>
    <t>Count payment period days</t>
  </si>
  <si>
    <t>% Balance of opening drawn amount</t>
  </si>
  <si>
    <t>Period end date (PED)</t>
  </si>
  <si>
    <t>Next workday following period end date (incl PED)</t>
  </si>
  <si>
    <t>Previous workday prior to PED (excl PED)</t>
  </si>
  <si>
    <t>Payment date (interest period between dates)</t>
  </si>
  <si>
    <t>Chosen loan assumptions (based on drop down box selection)</t>
  </si>
  <si>
    <t>Day of the week (logic check)</t>
  </si>
  <si>
    <t>Chart Data</t>
  </si>
  <si>
    <t>End of Month selection</t>
  </si>
  <si>
    <t>Principal repayment</t>
  </si>
  <si>
    <t>Assumptions</t>
  </si>
  <si>
    <t>Primary Developer:  Lance Rubin</t>
  </si>
  <si>
    <t>Cover Notes:</t>
  </si>
  <si>
    <t>Go to Table of Contents</t>
  </si>
  <si>
    <t>Table of Contents</t>
  </si>
  <si>
    <t>Go to Cover Sheet</t>
  </si>
  <si>
    <t>é</t>
  </si>
  <si>
    <t>Section &amp; Sheet Titles</t>
  </si>
  <si>
    <t>Section Cover Notes:</t>
  </si>
  <si>
    <t>ç</t>
  </si>
  <si>
    <t>è</t>
  </si>
  <si>
    <t>Outputs</t>
  </si>
  <si>
    <t>Appendices</t>
  </si>
  <si>
    <t>Time Series Lookup Tables</t>
  </si>
  <si>
    <t>Checks</t>
  </si>
  <si>
    <t>-</t>
  </si>
  <si>
    <t>Error Checks</t>
  </si>
  <si>
    <t>Errors Detected - Summary</t>
  </si>
  <si>
    <t>Check</t>
  </si>
  <si>
    <t>Include?</t>
  </si>
  <si>
    <t>Flag</t>
  </si>
  <si>
    <t>Total Errors:</t>
  </si>
  <si>
    <t>Error Message (Empty if None):</t>
  </si>
  <si>
    <t>Alert Checks</t>
  </si>
  <si>
    <t>Alerts Detected - Summary</t>
  </si>
  <si>
    <t>Total Alerts:</t>
  </si>
  <si>
    <t>Alert Message (Empty if None):</t>
  </si>
  <si>
    <t>x</t>
  </si>
  <si>
    <t>O</t>
  </si>
  <si>
    <t>Section 1.</t>
  </si>
  <si>
    <t>a.</t>
  </si>
  <si>
    <t>b.</t>
  </si>
  <si>
    <t>Section 2.</t>
  </si>
  <si>
    <t>Section 3.</t>
  </si>
  <si>
    <t>c.</t>
  </si>
  <si>
    <t>Key Assumptions</t>
  </si>
  <si>
    <t>months</t>
  </si>
  <si>
    <t>Model Timeseries (period end date)</t>
  </si>
  <si>
    <t>Model Questions &amp; Solutions</t>
  </si>
  <si>
    <t>Solution 1</t>
  </si>
  <si>
    <t>Solution 2</t>
  </si>
  <si>
    <t>Solution 3</t>
  </si>
  <si>
    <t>Solution 4</t>
  </si>
  <si>
    <t>Solution 5</t>
  </si>
  <si>
    <t>Solution 6</t>
  </si>
  <si>
    <t>Solution 7</t>
  </si>
  <si>
    <t>Solution 8</t>
  </si>
  <si>
    <t>LIVE</t>
  </si>
  <si>
    <t>Yes</t>
  </si>
  <si>
    <t>Answer:</t>
  </si>
  <si>
    <t>ModelOff Comp 2014 - Precise Debt Modelling Solution</t>
  </si>
  <si>
    <t>Formats &amp; Styles Key</t>
  </si>
  <si>
    <t>Color Name</t>
  </si>
  <si>
    <t>Color Description / Purpose</t>
  </si>
  <si>
    <t>Example</t>
  </si>
  <si>
    <t>Font Colors</t>
  </si>
  <si>
    <t>Constant</t>
  </si>
  <si>
    <t>Indicates ranges contain 100% constant (e.g. text/numbers).</t>
  </si>
  <si>
    <t>Formula</t>
  </si>
  <si>
    <t>Indicates ranges contain pure formulas / output calculations.</t>
  </si>
  <si>
    <t>Mixed</t>
  </si>
  <si>
    <t>Indicates ranges contain a mixture of formulas and constants (e.g. formulas that contain embedded text or numbers).</t>
  </si>
  <si>
    <t>Indicates operative checks - normally used as a conditional format.</t>
  </si>
  <si>
    <t>Hyperlink</t>
  </si>
  <si>
    <t>Indicates ranges contain hyperlinks to other ranges within the workbook or to other linked models.</t>
  </si>
  <si>
    <t>Fill Colors</t>
  </si>
  <si>
    <t>Color A</t>
  </si>
  <si>
    <t>Used to distinguish assumption sheets and/or cells.</t>
  </si>
  <si>
    <t>Work In Progress</t>
  </si>
  <si>
    <t>Indicates ranges contain data or formulas that remain uncertain or are subject to change.</t>
  </si>
  <si>
    <t>Color B</t>
  </si>
  <si>
    <t>Used to distinguish assumption sheets and/or cells. May also be used for a custom purpose.</t>
  </si>
  <si>
    <t>Hyperlink Type</t>
  </si>
  <si>
    <t>Hyperlink Description / Purpose</t>
  </si>
  <si>
    <t>Cover Hyperlink</t>
  </si>
  <si>
    <t>Links Contents Sheet to Cover Sheet.</t>
  </si>
  <si>
    <t>Go To Cover Sheet</t>
  </si>
  <si>
    <t>Home Hyperlink</t>
  </si>
  <si>
    <t>Links worksheets to Contents Sheet.</t>
  </si>
  <si>
    <t>Go To Table of Contents</t>
  </si>
  <si>
    <t>Custom Hyperlink</t>
  </si>
  <si>
    <t>Links worksheet ranges to other worksheet ranges in the model.</t>
  </si>
  <si>
    <t>Linked Cell Text</t>
  </si>
  <si>
    <t>Sheet Top Hyperlink</t>
  </si>
  <si>
    <t>Scrolls worksheet to the upper-most viewable section.</t>
  </si>
  <si>
    <t>Sheet Left Hyperlink</t>
  </si>
  <si>
    <t>Links active worksheet to the previous visible worksheet.</t>
  </si>
  <si>
    <t>Sheet Right Hyperlink</t>
  </si>
  <si>
    <t>Links active worksheet to the next visible worksheet.</t>
  </si>
  <si>
    <t>Sheet Naming Key</t>
  </si>
  <si>
    <t>Base Sheet Type</t>
  </si>
  <si>
    <t>Sheet Description / Purpose</t>
  </si>
  <si>
    <t>Suffix</t>
  </si>
  <si>
    <t>Cover*</t>
  </si>
  <si>
    <t>Indicates the start of a workbook.</t>
  </si>
  <si>
    <t>Cover</t>
  </si>
  <si>
    <t>Contents*</t>
  </si>
  <si>
    <t>Contains the workbook Table of Contents.</t>
  </si>
  <si>
    <t>Contents</t>
  </si>
  <si>
    <t>Section Cover</t>
  </si>
  <si>
    <t>Indicates the start of a workbook section.</t>
  </si>
  <si>
    <t>SC</t>
  </si>
  <si>
    <t>Blank Assumptions</t>
  </si>
  <si>
    <t>Residual category (contains assumptions).</t>
  </si>
  <si>
    <t>BA</t>
  </si>
  <si>
    <t>Time Series Assumptions</t>
  </si>
  <si>
    <t>Contains time series titles for entering assumptions over a set time frame.</t>
  </si>
  <si>
    <t>TA</t>
  </si>
  <si>
    <t>Blank Outputs</t>
  </si>
  <si>
    <t>Residual category (contains outputs).</t>
  </si>
  <si>
    <t>BO</t>
  </si>
  <si>
    <t>Time Series Outputs</t>
  </si>
  <si>
    <t>Contains time series titles for calculating outputs over a set time frame.</t>
  </si>
  <si>
    <t>TO</t>
  </si>
  <si>
    <t>Lookups</t>
  </si>
  <si>
    <t>Contains lookup data for use in forms / controls and in worksheet formulas.</t>
  </si>
  <si>
    <t>LU</t>
  </si>
  <si>
    <t>Schematics</t>
  </si>
  <si>
    <t>MS</t>
  </si>
  <si>
    <t>Notes:</t>
  </si>
  <si>
    <t>* The names of the Cover and Contents sheets are always "Cover" and "Contents" respectively.</t>
  </si>
  <si>
    <t>Range Naming Key</t>
  </si>
  <si>
    <t>Range Type / Purpose</t>
  </si>
  <si>
    <t>Range Description / Purpose</t>
  </si>
  <si>
    <t>Prefix</t>
  </si>
  <si>
    <t>Column Array</t>
  </si>
  <si>
    <t>Single column, multiple row, single area array.</t>
  </si>
  <si>
    <t>CA_</t>
  </si>
  <si>
    <t>Lookup</t>
  </si>
  <si>
    <t>Names a Lookup Table Array on a Lookups Sheet.</t>
  </si>
  <si>
    <t>LU_</t>
  </si>
  <si>
    <t>Hyperlink cell reference.</t>
  </si>
  <si>
    <t>HL_</t>
  </si>
  <si>
    <t>Check Box</t>
  </si>
  <si>
    <t>Check box cell link.</t>
  </si>
  <si>
    <t>CB_</t>
  </si>
  <si>
    <t>Drop Down Box</t>
  </si>
  <si>
    <t>Drop down box cell link.</t>
  </si>
  <si>
    <t>DD_</t>
  </si>
  <si>
    <t>KEYS:</t>
  </si>
  <si>
    <t xml:space="preserve">  Page  </t>
  </si>
  <si>
    <t>Total Pages:</t>
  </si>
  <si>
    <t>Error check</t>
  </si>
  <si>
    <t>Months</t>
  </si>
  <si>
    <t>LU_month_selection</t>
  </si>
  <si>
    <t>(Alert)</t>
  </si>
  <si>
    <t>CA_holidays</t>
  </si>
  <si>
    <r>
      <rPr>
        <b/>
        <u/>
        <sz val="10"/>
        <color indexed="60"/>
        <rFont val="Tahoma"/>
        <family val="2"/>
      </rPr>
      <t>NOTE:</t>
    </r>
    <r>
      <rPr>
        <b/>
        <sz val="10"/>
        <color indexed="60"/>
        <rFont val="Tahoma"/>
        <family val="2"/>
      </rPr>
      <t xml:space="preserve"> TO CHANGE THE LIVE SOLUTION TO MATCH BACK TO THE QUESTION CHANGE THE LOAN ASSUMPTION SELECTION TO THE OTHER LOAN</t>
    </r>
  </si>
  <si>
    <t>Goal seek check</t>
  </si>
  <si>
    <t>Goal Seek Error check</t>
  </si>
  <si>
    <t>Model Timeseries &amp; counters</t>
  </si>
  <si>
    <t>Loan Dashboards</t>
  </si>
  <si>
    <t>This section contain all the outputs as a result of the assumptions and calcutions prior to this section.</t>
  </si>
  <si>
    <t>Model Outputs</t>
  </si>
  <si>
    <t>Percentage of principal oustanding</t>
  </si>
  <si>
    <t>Percentage of total revenue earned</t>
  </si>
  <si>
    <t>Total revenue</t>
  </si>
  <si>
    <t>Cumulative revenue earned</t>
  </si>
  <si>
    <t>LU_loan_selection</t>
  </si>
  <si>
    <t>NB: Click goal seek button following a change in the drop down selection.</t>
  </si>
  <si>
    <t>Term</t>
  </si>
  <si>
    <t xml:space="preserve">Using the excel payment function </t>
  </si>
  <si>
    <t>The subequent sheets under the Assumptions section contain the relevant assumptions used to capture the variables contained within the ModelOff question.</t>
  </si>
  <si>
    <t>These sheets beyond these sheets are Appendices containing various checks, lookups and other arrays supporting the model.</t>
  </si>
  <si>
    <t xml:space="preserve">The best way to navigate through the model is through the hyperlinks contained at the top left of each sheet and through the table of contents. </t>
  </si>
  <si>
    <t>Similar to how you would navigate a Word document or a PDF file. Follow the numbered arrows and use the hyperlinks for a quick demonstration to navigate your way around the model.</t>
  </si>
  <si>
    <t>Time Series Assumptions &amp; Calculations</t>
  </si>
  <si>
    <t>This model has been designed as an alternative approach/solution to the Modeloff 2014 Precise Debt Modelling Question.</t>
  </si>
  <si>
    <t>Contains model charts.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</si>
</sst>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_(###0_);\(###0\);_(&quot;-&quot;_);_)@_)"/>
    <numFmt numFmtId="165" formatCode="_)d\-mmm\-yy_);_)d\-mmm\-yy_);_)&quot;-&quot;_);_)@_)"/>
    <numFmt numFmtId="166" formatCode="_(#,##0.0_);\(#,##0.0\);_(&quot;-&quot;_);_)@_)"/>
    <numFmt numFmtId="167" formatCode="_(#,##0.0%_);\(#,##0.0%\);_(&quot;-&quot;_);_)@_)"/>
    <numFmt numFmtId="168" formatCode="_(#,##0.0\x_);\(#,##0.0\x\);_(&quot;-&quot;_);_)@_)"/>
    <numFmt numFmtId="169" formatCode="_(&quot;$&quot;#,##0.0_);\(&quot;$&quot;#,##0.0\);_(&quot;-&quot;_);_)@_)"/>
    <numFmt numFmtId="170" formatCode="_(#,##0_);\(#,##0\);_(#,##0_);_)@_)"/>
    <numFmt numFmtId="171" formatCode="_(#,##0.00%_);\(#,##0.00%\);_(&quot;-&quot;_);_)@_)"/>
    <numFmt numFmtId="172" formatCode="_(#,##0_);\(#,##0\);_(&quot;-&quot;_);_)@_)"/>
    <numFmt numFmtId="173" formatCode="ddd"/>
    <numFmt numFmtId="174" formatCode="&quot;$&quot;#,##0.00"/>
    <numFmt numFmtId="175" formatCode="_(&quot;$&quot;#,##0.00_);\(&quot;$&quot;#,##0.00\);_(&quot;-&quot;_);_)@_)"/>
    <numFmt numFmtId="176" formatCode="#,##0.0"/>
    <numFmt numFmtId="177" formatCode="_(&quot;$&quot;#,##0_);\(&quot;$&quot;#,##0\);_(&quot;-&quot;_);_)@_)"/>
    <numFmt numFmtId="178" formatCode="#,##0."/>
    <numFmt numFmtId="179" formatCode="_(#,##0_);\(#,##0\);_-&quot;-&quot;_-;_)@_)"/>
  </numFmts>
  <fonts count="57" x14ac:knownFonts="1">
    <font>
      <sz val="8"/>
      <name val="Tahoma"/>
      <family val="2"/>
      <scheme val="minor"/>
    </font>
    <font>
      <b/>
      <sz val="14"/>
      <color rgb="FFED1C24"/>
      <name val="Arial"/>
      <family val="2"/>
    </font>
    <font>
      <b/>
      <sz val="11"/>
      <color theme="1"/>
      <name val="Arial"/>
      <family val="2"/>
    </font>
    <font>
      <i/>
      <sz val="11"/>
      <color theme="0" tint="-0.34998626667073579"/>
      <name val="Arial"/>
      <family val="2"/>
    </font>
    <font>
      <sz val="8"/>
      <name val="Tahoma"/>
      <family val="2"/>
    </font>
    <font>
      <b/>
      <sz val="14"/>
      <name val="Tahoma"/>
      <family val="2"/>
      <scheme val="major"/>
    </font>
    <font>
      <b/>
      <sz val="13"/>
      <name val="Tahoma"/>
      <family val="2"/>
      <scheme val="major"/>
    </font>
    <font>
      <b/>
      <sz val="12"/>
      <name val="Tahoma"/>
      <family val="2"/>
      <scheme val="major"/>
    </font>
    <font>
      <b/>
      <sz val="10"/>
      <name val="Tahoma"/>
      <family val="2"/>
      <scheme val="major"/>
    </font>
    <font>
      <b/>
      <sz val="9"/>
      <name val="Tahoma"/>
      <family val="2"/>
      <scheme val="major"/>
    </font>
    <font>
      <b/>
      <sz val="8"/>
      <name val="Tahoma"/>
      <family val="2"/>
      <scheme val="major"/>
    </font>
    <font>
      <sz val="8"/>
      <name val="Tahoma"/>
      <family val="2"/>
      <scheme val="major"/>
    </font>
    <font>
      <sz val="8"/>
      <name val="Tahoma"/>
      <family val="2"/>
      <scheme val="minor"/>
    </font>
    <font>
      <b/>
      <sz val="8"/>
      <name val="Tahoma"/>
      <family val="2"/>
      <scheme val="minor"/>
    </font>
    <font>
      <b/>
      <u/>
      <sz val="8"/>
      <color indexed="56"/>
      <name val="Tahoma"/>
      <family val="2"/>
      <scheme val="minor"/>
    </font>
    <font>
      <b/>
      <sz val="10"/>
      <color indexed="56"/>
      <name val="Wingdings"/>
      <charset val="2"/>
    </font>
    <font>
      <b/>
      <u/>
      <sz val="10"/>
      <color indexed="56"/>
      <name val="Tahoma"/>
      <family val="2"/>
      <scheme val="minor"/>
    </font>
    <font>
      <b/>
      <u/>
      <sz val="9"/>
      <color indexed="56"/>
      <name val="Tahoma"/>
      <family val="2"/>
      <scheme val="minor"/>
    </font>
    <font>
      <sz val="8"/>
      <color indexed="56"/>
      <name val="Tahoma"/>
      <family val="2"/>
      <scheme val="minor"/>
    </font>
    <font>
      <sz val="8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000000"/>
      <name val="Tahoma"/>
      <family val="2"/>
    </font>
    <font>
      <u/>
      <sz val="8"/>
      <color theme="10"/>
      <name val="Tahoma"/>
      <family val="2"/>
      <scheme val="minor"/>
    </font>
    <font>
      <b/>
      <sz val="14"/>
      <color indexed="60"/>
      <name val="Tahoma"/>
      <family val="2"/>
    </font>
    <font>
      <b/>
      <sz val="12"/>
      <color indexed="59"/>
      <name val="Tahoma"/>
      <family val="2"/>
    </font>
    <font>
      <b/>
      <u/>
      <sz val="8"/>
      <color indexed="56"/>
      <name val="Tahoma"/>
      <family val="2"/>
    </font>
    <font>
      <b/>
      <sz val="8"/>
      <color indexed="60"/>
      <name val="Tahoma"/>
      <family val="2"/>
    </font>
    <font>
      <b/>
      <sz val="10"/>
      <color indexed="60"/>
      <name val="Tahoma"/>
      <family val="2"/>
    </font>
    <font>
      <b/>
      <sz val="9"/>
      <color indexed="60"/>
      <name val="Tahoma"/>
      <family val="2"/>
    </font>
    <font>
      <sz val="8"/>
      <color indexed="60"/>
      <name val="Tahoma"/>
      <family val="2"/>
    </font>
    <font>
      <b/>
      <sz val="8"/>
      <name val="Tahoma"/>
      <family val="2"/>
    </font>
    <font>
      <b/>
      <sz val="8"/>
      <color indexed="59"/>
      <name val="Tahoma"/>
      <family val="2"/>
    </font>
    <font>
      <b/>
      <sz val="8"/>
      <color indexed="58"/>
      <name val="Tahoma"/>
      <family val="2"/>
    </font>
    <font>
      <b/>
      <u/>
      <sz val="10"/>
      <color indexed="60"/>
      <name val="Tahoma"/>
      <family val="2"/>
    </font>
    <font>
      <sz val="8"/>
      <color rgb="FFFF0000"/>
      <name val="Tahoma"/>
      <family val="2"/>
    </font>
    <font>
      <b/>
      <sz val="12"/>
      <name val="Tahoma"/>
      <family val="2"/>
    </font>
    <font>
      <b/>
      <sz val="10"/>
      <color indexed="56"/>
      <name val="Tahoma"/>
      <family val="2"/>
    </font>
    <font>
      <b/>
      <sz val="13"/>
      <color indexed="60"/>
      <name val="Tahoma"/>
      <family val="2"/>
    </font>
    <font>
      <b/>
      <u/>
      <sz val="12"/>
      <color indexed="60"/>
      <name val="Tahoma"/>
      <family val="2"/>
    </font>
    <font>
      <sz val="8"/>
      <color indexed="18"/>
      <name val="Tahoma"/>
      <family val="2"/>
    </font>
    <font>
      <sz val="8"/>
      <color indexed="59"/>
      <name val="Tahoma"/>
      <family val="2"/>
    </font>
    <font>
      <b/>
      <u/>
      <sz val="8"/>
      <color indexed="60"/>
      <name val="Tahoma"/>
      <family val="2"/>
    </font>
    <font>
      <sz val="8"/>
      <color theme="0" tint="-0.499984740745262"/>
      <name val="Tahoma"/>
      <family val="2"/>
    </font>
    <font>
      <b/>
      <i/>
      <sz val="8"/>
      <name val="Tahoma"/>
      <family val="2"/>
    </font>
    <font>
      <b/>
      <u/>
      <sz val="8"/>
      <name val="Tahoma"/>
      <family val="2"/>
    </font>
    <font>
      <sz val="8"/>
      <color rgb="FFFFFFFF"/>
      <name val="Tahoma"/>
      <family val="2"/>
    </font>
    <font>
      <u/>
      <sz val="8"/>
      <name val="Tahoma"/>
      <family val="2"/>
    </font>
    <font>
      <u/>
      <sz val="8"/>
      <color rgb="FFFF0000"/>
      <name val="Tahoma"/>
      <family val="2"/>
    </font>
    <font>
      <b/>
      <sz val="10"/>
      <name val="Tahoma"/>
      <family val="2"/>
    </font>
    <font>
      <b/>
      <u/>
      <sz val="10"/>
      <color indexed="56"/>
      <name val="Tahoma"/>
      <family val="2"/>
    </font>
    <font>
      <sz val="8"/>
      <color indexed="56"/>
      <name val="Tahoma"/>
      <family val="2"/>
    </font>
    <font>
      <b/>
      <sz val="9"/>
      <color indexed="63"/>
      <name val="Tahoma"/>
      <family val="2"/>
    </font>
    <font>
      <u/>
      <sz val="8"/>
      <color theme="10"/>
      <name val="Tahoma"/>
      <family val="2"/>
    </font>
    <font>
      <i/>
      <sz val="8"/>
      <color rgb="FFA6A6A6"/>
      <name val="Tahoma"/>
      <family val="2"/>
    </font>
    <font>
      <b/>
      <sz val="8"/>
      <color indexed="10"/>
      <name val="Tahoma"/>
      <family val="2"/>
    </font>
    <font>
      <sz val="8"/>
      <color indexed="60"/>
      <name val="Tahoma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8"/>
        <bgColor indexed="64"/>
      </patternFill>
    </fill>
  </fills>
  <borders count="19">
    <border>
      <left/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dashed">
        <color indexed="64"/>
      </top>
      <bottom/>
      <diagonal/>
    </border>
    <border>
      <left style="thin">
        <color indexed="18"/>
      </left>
      <right/>
      <top style="thin">
        <color indexed="18"/>
      </top>
      <bottom style="thin">
        <color indexed="1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/>
      <bottom style="thin">
        <color indexed="1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</borders>
  <cellStyleXfs count="61">
    <xf numFmtId="0" fontId="0" fillId="0" borderId="0" applyFill="0" applyBorder="0">
      <alignment vertical="center"/>
    </xf>
    <xf numFmtId="0" fontId="1" fillId="0" borderId="0" applyNumberFormat="0" applyProtection="0"/>
    <xf numFmtId="0" fontId="2" fillId="0" borderId="0" applyNumberFormat="0" applyBorder="0"/>
    <xf numFmtId="0" fontId="3" fillId="0" borderId="0" applyNumberFormat="0"/>
    <xf numFmtId="0" fontId="5" fillId="0" borderId="0" applyFill="0" applyBorder="0">
      <alignment vertical="center"/>
    </xf>
    <xf numFmtId="0" fontId="6" fillId="0" borderId="0" applyFill="0" applyBorder="0">
      <alignment vertical="center"/>
    </xf>
    <xf numFmtId="0" fontId="7" fillId="0" borderId="0" applyFill="0" applyBorder="0">
      <alignment vertical="center"/>
    </xf>
    <xf numFmtId="0" fontId="8" fillId="0" borderId="0" applyFill="0" applyBorder="0">
      <alignment vertical="center"/>
    </xf>
    <xf numFmtId="0" fontId="9" fillId="0" borderId="0" applyFill="0" applyBorder="0">
      <alignment vertical="center"/>
    </xf>
    <xf numFmtId="0" fontId="10" fillId="0" borderId="0" applyFill="0" applyBorder="0">
      <alignment vertical="center"/>
    </xf>
    <xf numFmtId="0" fontId="11" fillId="0" borderId="0" applyFill="0" applyBorder="0">
      <alignment vertical="center"/>
    </xf>
    <xf numFmtId="0" fontId="11" fillId="0" borderId="0" applyFill="0" applyBorder="0">
      <alignment vertical="center"/>
      <protection locked="0"/>
    </xf>
    <xf numFmtId="0" fontId="12" fillId="0" borderId="1">
      <alignment vertical="center"/>
      <protection locked="0"/>
    </xf>
    <xf numFmtId="164" fontId="12" fillId="0" borderId="1">
      <alignment vertical="center"/>
      <protection locked="0"/>
    </xf>
    <xf numFmtId="165" fontId="12" fillId="0" borderId="1">
      <alignment vertical="center"/>
      <protection locked="0"/>
    </xf>
    <xf numFmtId="166" fontId="12" fillId="0" borderId="1">
      <alignment vertical="center"/>
      <protection locked="0"/>
    </xf>
    <xf numFmtId="167" fontId="12" fillId="0" borderId="1">
      <alignment vertical="center"/>
      <protection locked="0"/>
    </xf>
    <xf numFmtId="168" fontId="12" fillId="0" borderId="1">
      <alignment vertical="center"/>
      <protection locked="0"/>
    </xf>
    <xf numFmtId="169" fontId="12" fillId="0" borderId="1">
      <alignment vertical="center"/>
      <protection locked="0"/>
    </xf>
    <xf numFmtId="0" fontId="4" fillId="0" borderId="0" applyNumberFormat="0" applyFont="0" applyFill="0" applyBorder="0">
      <alignment horizontal="center" vertical="center"/>
      <protection locked="0"/>
    </xf>
    <xf numFmtId="164" fontId="12" fillId="0" borderId="0" applyFill="0" applyBorder="0">
      <alignment vertical="center"/>
    </xf>
    <xf numFmtId="165" fontId="12" fillId="0" borderId="0" applyFill="0" applyBorder="0">
      <alignment vertical="center"/>
    </xf>
    <xf numFmtId="166" fontId="12" fillId="0" borderId="0" applyFill="0" applyBorder="0">
      <alignment vertical="center"/>
    </xf>
    <xf numFmtId="167" fontId="12" fillId="0" borderId="0" applyFill="0" applyBorder="0">
      <alignment vertical="center"/>
    </xf>
    <xf numFmtId="168" fontId="12" fillId="0" borderId="0" applyFill="0" applyBorder="0">
      <alignment vertical="center"/>
    </xf>
    <xf numFmtId="169" fontId="12" fillId="0" borderId="0" applyFill="0" applyBorder="0">
      <alignment vertical="center"/>
    </xf>
    <xf numFmtId="0" fontId="13" fillId="0" borderId="0" applyFill="0" applyBorder="0">
      <alignment vertical="center"/>
    </xf>
    <xf numFmtId="0" fontId="13" fillId="0" borderId="2" applyFill="0">
      <alignment horizontal="center" vertical="center"/>
    </xf>
    <xf numFmtId="170" fontId="12" fillId="0" borderId="2" applyFill="0">
      <alignment horizontal="center" vertical="center"/>
    </xf>
    <xf numFmtId="0" fontId="12" fillId="0" borderId="2" applyFill="0">
      <alignment horizontal="center" vertical="center"/>
    </xf>
    <xf numFmtId="0" fontId="14" fillId="0" borderId="0" applyFill="0" applyBorder="0">
      <alignment vertical="center"/>
    </xf>
    <xf numFmtId="0" fontId="15" fillId="0" borderId="0" applyFill="0" applyBorder="0">
      <alignment horizontal="center" vertical="center"/>
    </xf>
    <xf numFmtId="0" fontId="15" fillId="0" borderId="0" applyFill="0" applyBorder="0">
      <alignment horizontal="center" vertical="center"/>
    </xf>
    <xf numFmtId="0" fontId="16" fillId="0" borderId="0" applyFill="0" applyBorder="0">
      <alignment vertical="center"/>
    </xf>
    <xf numFmtId="0" fontId="17" fillId="0" borderId="0" applyFill="0" applyBorder="0">
      <alignment vertical="center"/>
    </xf>
    <xf numFmtId="0" fontId="18" fillId="0" borderId="0" applyFill="0" applyBorder="0">
      <alignment vertical="center"/>
    </xf>
    <xf numFmtId="0" fontId="18" fillId="0" borderId="0" applyFill="0" applyBorder="0">
      <alignment vertical="center"/>
    </xf>
    <xf numFmtId="0" fontId="5" fillId="0" borderId="0" applyFill="0" applyBorder="0">
      <alignment vertical="center"/>
    </xf>
    <xf numFmtId="0" fontId="6" fillId="0" borderId="0" applyFill="0" applyBorder="0">
      <alignment vertical="center"/>
    </xf>
    <xf numFmtId="0" fontId="7" fillId="0" borderId="0" applyFill="0" applyBorder="0">
      <alignment vertical="center"/>
    </xf>
    <xf numFmtId="0" fontId="8" fillId="0" borderId="0" applyFill="0" applyBorder="0">
      <alignment vertical="center"/>
    </xf>
    <xf numFmtId="0" fontId="9" fillId="0" borderId="0" applyFill="0" applyBorder="0">
      <alignment vertical="center"/>
    </xf>
    <xf numFmtId="0" fontId="10" fillId="0" borderId="0" applyFill="0" applyBorder="0">
      <alignment vertical="center"/>
    </xf>
    <xf numFmtId="0" fontId="11" fillId="0" borderId="0" applyFill="0" applyBorder="0">
      <alignment vertical="center"/>
    </xf>
    <xf numFmtId="0" fontId="11" fillId="0" borderId="0" applyFill="0" applyBorder="0">
      <alignment vertical="center"/>
      <protection locked="0"/>
    </xf>
    <xf numFmtId="166" fontId="12" fillId="0" borderId="0" applyFill="0" applyBorder="0">
      <alignment vertical="center"/>
    </xf>
    <xf numFmtId="167" fontId="12" fillId="0" borderId="0" applyFill="0" applyBorder="0">
      <alignment vertical="center"/>
    </xf>
    <xf numFmtId="168" fontId="12" fillId="0" borderId="0" applyFill="0" applyBorder="0">
      <alignment vertical="center"/>
    </xf>
    <xf numFmtId="169" fontId="12" fillId="0" borderId="0" applyFill="0" applyBorder="0">
      <alignment vertical="center"/>
    </xf>
    <xf numFmtId="164" fontId="12" fillId="0" borderId="0" applyFill="0" applyBorder="0">
      <alignment vertical="center"/>
    </xf>
    <xf numFmtId="165" fontId="12" fillId="0" borderId="0" applyFill="0" applyBorder="0">
      <alignment vertical="center"/>
    </xf>
    <xf numFmtId="0" fontId="13" fillId="0" borderId="0" applyFill="0" applyBorder="0">
      <alignment vertical="center"/>
    </xf>
    <xf numFmtId="0" fontId="14" fillId="0" borderId="0" applyFill="0" applyBorder="0">
      <alignment vertical="center"/>
    </xf>
    <xf numFmtId="0" fontId="15" fillId="0" borderId="0" applyFill="0" applyBorder="0">
      <alignment horizontal="center" vertical="center"/>
    </xf>
    <xf numFmtId="0" fontId="15" fillId="0" borderId="0" applyFill="0" applyBorder="0">
      <alignment horizontal="center" vertical="center"/>
    </xf>
    <xf numFmtId="0" fontId="16" fillId="0" borderId="0" applyFill="0" applyBorder="0">
      <alignment vertical="center"/>
    </xf>
    <xf numFmtId="0" fontId="17" fillId="0" borderId="0" applyFill="0" applyBorder="0">
      <alignment vertical="center"/>
    </xf>
    <xf numFmtId="0" fontId="18" fillId="0" borderId="0" applyFill="0" applyBorder="0">
      <alignment vertical="center"/>
    </xf>
    <xf numFmtId="0" fontId="18" fillId="0" borderId="0" applyFill="0" applyBorder="0">
      <alignment vertical="center"/>
    </xf>
    <xf numFmtId="0" fontId="12" fillId="0" borderId="0" applyFill="0" applyBorder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15" fillId="0" borderId="0" xfId="31">
      <alignment horizontal="center" vertical="center"/>
    </xf>
    <xf numFmtId="0" fontId="15" fillId="0" borderId="0" xfId="31" applyAlignment="1">
      <alignment horizontal="right" vertical="center"/>
    </xf>
    <xf numFmtId="0" fontId="15" fillId="0" borderId="0" xfId="31" quotePrefix="1" applyAlignment="1">
      <alignment horizontal="left" vertical="center"/>
    </xf>
    <xf numFmtId="0" fontId="15" fillId="2" borderId="0" xfId="31" applyFill="1">
      <alignment horizontal="center" vertical="center"/>
    </xf>
    <xf numFmtId="0" fontId="15" fillId="2" borderId="0" xfId="31" applyFill="1" applyAlignment="1">
      <alignment horizontal="right" vertical="center"/>
    </xf>
    <xf numFmtId="0" fontId="15" fillId="2" borderId="0" xfId="32" applyFill="1" applyAlignment="1">
      <alignment horizontal="right" vertical="center"/>
    </xf>
    <xf numFmtId="0" fontId="15" fillId="2" borderId="0" xfId="32" applyFill="1" applyAlignment="1">
      <alignment horizontal="left" vertical="center"/>
    </xf>
    <xf numFmtId="0" fontId="15" fillId="0" borderId="0" xfId="32" applyAlignment="1">
      <alignment horizontal="right" vertical="center"/>
    </xf>
    <xf numFmtId="0" fontId="15" fillId="0" borderId="0" xfId="32" applyAlignment="1">
      <alignment horizontal="center" vertical="center"/>
    </xf>
    <xf numFmtId="0" fontId="15" fillId="0" borderId="0" xfId="32" applyAlignment="1">
      <alignment horizontal="left" vertical="center"/>
    </xf>
    <xf numFmtId="0" fontId="15" fillId="0" borderId="0" xfId="31" applyBorder="1">
      <alignment horizontal="center" vertical="center"/>
    </xf>
    <xf numFmtId="0" fontId="15" fillId="2" borderId="0" xfId="31" applyFill="1" applyAlignment="1">
      <alignment horizontal="left" vertical="center"/>
    </xf>
    <xf numFmtId="0" fontId="15" fillId="0" borderId="0" xfId="31" applyAlignment="1">
      <alignment horizontal="left" vertical="center"/>
    </xf>
    <xf numFmtId="0" fontId="24" fillId="0" borderId="0" xfId="4" applyFont="1" applyFill="1">
      <alignment vertical="center"/>
    </xf>
    <xf numFmtId="0" fontId="4" fillId="0" borderId="0" xfId="0" applyFont="1">
      <alignment vertical="center"/>
    </xf>
    <xf numFmtId="0" fontId="25" fillId="0" borderId="0" xfId="6" applyFont="1" applyFill="1">
      <alignment vertical="center"/>
    </xf>
    <xf numFmtId="0" fontId="27" fillId="0" borderId="0" xfId="9" applyFont="1" applyAlignment="1">
      <alignment horizontal="left" vertical="center"/>
    </xf>
    <xf numFmtId="0" fontId="28" fillId="0" borderId="0" xfId="7" applyFont="1" applyAlignment="1">
      <alignment horizontal="left" vertical="center"/>
    </xf>
    <xf numFmtId="0" fontId="4" fillId="0" borderId="11" xfId="0" applyFont="1" applyBorder="1">
      <alignment vertical="center"/>
    </xf>
    <xf numFmtId="0" fontId="29" fillId="0" borderId="11" xfId="8" applyFont="1" applyBorder="1" applyAlignment="1">
      <alignment horizontal="left" vertical="center"/>
    </xf>
    <xf numFmtId="0" fontId="4" fillId="0" borderId="18" xfId="0" applyFont="1" applyBorder="1">
      <alignment vertical="center"/>
    </xf>
    <xf numFmtId="0" fontId="30" fillId="0" borderId="0" xfId="10" quotePrefix="1" applyFont="1" applyAlignment="1">
      <alignment horizontal="left" vertical="center"/>
    </xf>
    <xf numFmtId="0" fontId="30" fillId="0" borderId="0" xfId="10" applyFont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30" fillId="0" borderId="0" xfId="10" applyFont="1" applyFill="1" applyAlignment="1">
      <alignment horizontal="left" vertical="center"/>
    </xf>
    <xf numFmtId="0" fontId="30" fillId="0" borderId="0" xfId="10" applyFont="1" applyAlignment="1">
      <alignment horizontal="left" vertical="center"/>
    </xf>
    <xf numFmtId="0" fontId="24" fillId="0" borderId="0" xfId="4" applyFont="1">
      <alignment vertical="center"/>
    </xf>
    <xf numFmtId="0" fontId="36" fillId="0" borderId="0" xfId="6" applyFont="1">
      <alignment vertical="center"/>
    </xf>
    <xf numFmtId="0" fontId="28" fillId="0" borderId="11" xfId="7" applyFont="1" applyBorder="1" applyAlignment="1">
      <alignment horizontal="left" vertical="center"/>
    </xf>
    <xf numFmtId="0" fontId="4" fillId="0" borderId="0" xfId="0" applyFont="1" applyBorder="1">
      <alignment vertical="center"/>
    </xf>
    <xf numFmtId="0" fontId="4" fillId="0" borderId="0" xfId="0" applyFont="1" applyFill="1">
      <alignment vertical="center"/>
    </xf>
    <xf numFmtId="0" fontId="29" fillId="0" borderId="0" xfId="8" applyFont="1" applyAlignment="1">
      <alignment horizontal="left" vertical="center"/>
    </xf>
    <xf numFmtId="0" fontId="38" fillId="0" borderId="0" xfId="5" applyFont="1">
      <alignment vertical="center"/>
    </xf>
    <xf numFmtId="0" fontId="4" fillId="2" borderId="0" xfId="0" applyFont="1" applyFill="1">
      <alignment vertical="center"/>
    </xf>
    <xf numFmtId="0" fontId="24" fillId="2" borderId="0" xfId="4" applyFont="1" applyFill="1">
      <alignment vertical="center"/>
    </xf>
    <xf numFmtId="0" fontId="36" fillId="2" borderId="0" xfId="6" applyFont="1" applyFill="1">
      <alignment vertical="center"/>
    </xf>
    <xf numFmtId="0" fontId="26" fillId="2" borderId="0" xfId="30" applyFont="1" applyFill="1">
      <alignment vertical="center"/>
    </xf>
    <xf numFmtId="0" fontId="4" fillId="2" borderId="0" xfId="0" applyFont="1" applyFill="1" applyBorder="1">
      <alignment vertical="center"/>
    </xf>
    <xf numFmtId="0" fontId="28" fillId="2" borderId="0" xfId="7" applyFont="1" applyFill="1">
      <alignment vertical="center"/>
    </xf>
    <xf numFmtId="0" fontId="39" fillId="2" borderId="0" xfId="7" applyFont="1" applyFill="1">
      <alignment vertical="center"/>
    </xf>
    <xf numFmtId="0" fontId="27" fillId="2" borderId="0" xfId="9" applyFont="1" applyFill="1">
      <alignment vertical="center"/>
    </xf>
    <xf numFmtId="0" fontId="30" fillId="2" borderId="0" xfId="10" applyFont="1" applyFill="1">
      <alignment vertical="center"/>
    </xf>
    <xf numFmtId="0" fontId="40" fillId="2" borderId="0" xfId="19" applyFont="1" applyFill="1" applyAlignment="1">
      <alignment horizontal="center" vertical="center"/>
      <protection locked="0"/>
    </xf>
    <xf numFmtId="0" fontId="4" fillId="2" borderId="0" xfId="10" applyFont="1" applyFill="1">
      <alignment vertical="center"/>
    </xf>
    <xf numFmtId="0" fontId="42" fillId="2" borderId="0" xfId="9" applyFont="1" applyFill="1">
      <alignment vertical="center"/>
    </xf>
    <xf numFmtId="169" fontId="4" fillId="2" borderId="1" xfId="25" applyFont="1" applyFill="1" applyBorder="1">
      <alignment vertical="center"/>
    </xf>
    <xf numFmtId="172" fontId="4" fillId="2" borderId="1" xfId="22" applyNumberFormat="1" applyFont="1" applyFill="1" applyBorder="1">
      <alignment vertical="center"/>
    </xf>
    <xf numFmtId="0" fontId="4" fillId="2" borderId="0" xfId="0" applyFont="1" applyFill="1" applyAlignment="1">
      <alignment horizontal="left" vertical="center"/>
    </xf>
    <xf numFmtId="165" fontId="4" fillId="2" borderId="1" xfId="21" applyFont="1" applyFill="1" applyBorder="1">
      <alignment vertical="center"/>
    </xf>
    <xf numFmtId="171" fontId="4" fillId="2" borderId="1" xfId="23" applyNumberFormat="1" applyFont="1" applyFill="1" applyBorder="1">
      <alignment vertical="center"/>
    </xf>
    <xf numFmtId="169" fontId="4" fillId="2" borderId="0" xfId="25" applyFont="1" applyFill="1">
      <alignment vertical="center"/>
    </xf>
    <xf numFmtId="0" fontId="30" fillId="2" borderId="1" xfId="12" applyFont="1" applyFill="1">
      <alignment vertical="center"/>
      <protection locked="0"/>
    </xf>
    <xf numFmtId="176" fontId="4" fillId="2" borderId="0" xfId="0" applyNumberFormat="1" applyFont="1" applyFill="1">
      <alignment vertical="center"/>
    </xf>
    <xf numFmtId="165" fontId="4" fillId="2" borderId="0" xfId="21" applyFont="1" applyFill="1">
      <alignment vertical="center"/>
    </xf>
    <xf numFmtId="0" fontId="43" fillId="2" borderId="0" xfId="0" applyFont="1" applyFill="1">
      <alignment vertical="center"/>
    </xf>
    <xf numFmtId="0" fontId="4" fillId="2" borderId="0" xfId="0" applyFont="1" applyFill="1" applyBorder="1" applyAlignment="1">
      <alignment horizontal="right" vertical="center"/>
    </xf>
    <xf numFmtId="165" fontId="4" fillId="2" borderId="0" xfId="0" applyNumberFormat="1" applyFont="1" applyFill="1">
      <alignment vertical="center"/>
    </xf>
    <xf numFmtId="165" fontId="4" fillId="2" borderId="0" xfId="50" applyFont="1" applyFill="1">
      <alignment vertical="center"/>
    </xf>
    <xf numFmtId="165" fontId="4" fillId="2" borderId="0" xfId="0" applyNumberFormat="1" applyFont="1" applyFill="1" applyBorder="1" applyAlignment="1">
      <alignment horizontal="right" vertical="center"/>
    </xf>
    <xf numFmtId="172" fontId="4" fillId="2" borderId="0" xfId="22" applyNumberFormat="1" applyFont="1" applyFill="1">
      <alignment vertical="center"/>
    </xf>
    <xf numFmtId="173" fontId="4" fillId="2" borderId="0" xfId="0" applyNumberFormat="1" applyFont="1" applyFill="1">
      <alignment vertical="center"/>
    </xf>
    <xf numFmtId="172" fontId="4" fillId="2" borderId="0" xfId="0" applyNumberFormat="1" applyFont="1" applyFill="1">
      <alignment vertical="center"/>
    </xf>
    <xf numFmtId="169" fontId="31" fillId="2" borderId="5" xfId="25" applyFont="1" applyFill="1" applyBorder="1">
      <alignment vertical="center"/>
    </xf>
    <xf numFmtId="0" fontId="44" fillId="2" borderId="0" xfId="0" applyFont="1" applyFill="1">
      <alignment vertical="center"/>
    </xf>
    <xf numFmtId="169" fontId="31" fillId="2" borderId="0" xfId="0" applyNumberFormat="1" applyFont="1" applyFill="1" applyBorder="1" applyAlignment="1">
      <alignment horizontal="right" vertical="center"/>
    </xf>
    <xf numFmtId="169" fontId="4" fillId="2" borderId="0" xfId="0" applyNumberFormat="1" applyFont="1" applyFill="1">
      <alignment vertical="center"/>
    </xf>
    <xf numFmtId="174" fontId="31" fillId="2" borderId="0" xfId="0" applyNumberFormat="1" applyFont="1" applyFill="1">
      <alignment vertical="center"/>
    </xf>
    <xf numFmtId="169" fontId="31" fillId="2" borderId="4" xfId="0" applyNumberFormat="1" applyFont="1" applyFill="1" applyBorder="1">
      <alignment vertical="center"/>
    </xf>
    <xf numFmtId="169" fontId="31" fillId="2" borderId="5" xfId="0" applyNumberFormat="1" applyFont="1" applyFill="1" applyBorder="1">
      <alignment vertical="center"/>
    </xf>
    <xf numFmtId="169" fontId="31" fillId="2" borderId="0" xfId="0" applyNumberFormat="1" applyFont="1" applyFill="1" applyBorder="1">
      <alignment vertical="center"/>
    </xf>
    <xf numFmtId="0" fontId="42" fillId="2" borderId="0" xfId="9" applyFont="1" applyFill="1" applyAlignment="1">
      <alignment horizontal="center" vertical="center"/>
    </xf>
    <xf numFmtId="0" fontId="42" fillId="2" borderId="0" xfId="9" applyFont="1" applyFill="1" applyBorder="1" applyAlignment="1">
      <alignment horizontal="center" vertical="center"/>
    </xf>
    <xf numFmtId="167" fontId="4" fillId="2" borderId="0" xfId="0" applyNumberFormat="1" applyFont="1" applyFill="1">
      <alignment vertical="center"/>
    </xf>
    <xf numFmtId="166" fontId="4" fillId="2" borderId="0" xfId="22" applyFont="1" applyFill="1">
      <alignment vertical="center"/>
    </xf>
    <xf numFmtId="0" fontId="32" fillId="2" borderId="0" xfId="10" applyFont="1" applyFill="1">
      <alignment vertical="center"/>
    </xf>
    <xf numFmtId="165" fontId="4" fillId="4" borderId="0" xfId="0" applyNumberFormat="1" applyFont="1" applyFill="1">
      <alignment vertical="center"/>
    </xf>
    <xf numFmtId="172" fontId="4" fillId="4" borderId="0" xfId="22" applyNumberFormat="1" applyFont="1" applyFill="1" applyBorder="1">
      <alignment vertical="center"/>
    </xf>
    <xf numFmtId="166" fontId="4" fillId="4" borderId="0" xfId="22" applyFont="1" applyFill="1" applyBorder="1">
      <alignment vertical="center"/>
    </xf>
    <xf numFmtId="165" fontId="4" fillId="4" borderId="0" xfId="50" applyFont="1" applyFill="1">
      <alignment vertical="center"/>
    </xf>
    <xf numFmtId="172" fontId="4" fillId="4" borderId="0" xfId="50" applyNumberFormat="1" applyFont="1" applyFill="1">
      <alignment vertical="center"/>
    </xf>
    <xf numFmtId="0" fontId="34" fillId="4" borderId="0" xfId="7" applyFont="1" applyFill="1">
      <alignment vertical="center"/>
    </xf>
    <xf numFmtId="0" fontId="4" fillId="4" borderId="0" xfId="0" applyFont="1" applyFill="1">
      <alignment vertical="center"/>
    </xf>
    <xf numFmtId="0" fontId="4" fillId="4" borderId="0" xfId="0" applyFont="1" applyFill="1" applyBorder="1">
      <alignment vertical="center"/>
    </xf>
    <xf numFmtId="169" fontId="4" fillId="4" borderId="0" xfId="25" applyFont="1" applyFill="1">
      <alignment vertical="center"/>
    </xf>
    <xf numFmtId="0" fontId="30" fillId="4" borderId="0" xfId="10" applyFont="1" applyFill="1">
      <alignment vertical="center"/>
    </xf>
    <xf numFmtId="0" fontId="4" fillId="3" borderId="0" xfId="0" applyFont="1" applyFill="1" applyBorder="1">
      <alignment vertical="center"/>
    </xf>
    <xf numFmtId="0" fontId="46" fillId="5" borderId="0" xfId="19" applyFont="1" applyFill="1" applyBorder="1" applyAlignment="1">
      <alignment horizontal="center" vertical="center"/>
      <protection locked="0"/>
    </xf>
    <xf numFmtId="0" fontId="28" fillId="0" borderId="0" xfId="9" applyFont="1" applyFill="1">
      <alignment vertical="center"/>
    </xf>
    <xf numFmtId="0" fontId="30" fillId="0" borderId="0" xfId="10" applyFont="1" applyFill="1">
      <alignment vertical="center"/>
    </xf>
    <xf numFmtId="0" fontId="30" fillId="0" borderId="12" xfId="12" applyFont="1" applyFill="1" applyBorder="1" applyAlignment="1">
      <alignment horizontal="center" vertical="center"/>
      <protection locked="0"/>
    </xf>
    <xf numFmtId="0" fontId="30" fillId="0" borderId="2" xfId="12" applyFont="1" applyFill="1" applyBorder="1" applyAlignment="1">
      <alignment horizontal="center" vertical="center"/>
      <protection locked="0"/>
    </xf>
    <xf numFmtId="172" fontId="4" fillId="0" borderId="2" xfId="0" applyNumberFormat="1" applyFont="1" applyFill="1" applyBorder="1">
      <alignment vertical="center"/>
    </xf>
    <xf numFmtId="0" fontId="27" fillId="0" borderId="2" xfId="9" applyFont="1" applyFill="1" applyBorder="1">
      <alignment vertical="center"/>
    </xf>
    <xf numFmtId="172" fontId="41" fillId="2" borderId="0" xfId="0" applyNumberFormat="1" applyFont="1" applyFill="1">
      <alignment vertical="center"/>
    </xf>
    <xf numFmtId="0" fontId="40" fillId="2" borderId="0" xfId="10" applyFont="1" applyFill="1">
      <alignment vertical="center"/>
    </xf>
    <xf numFmtId="0" fontId="40" fillId="2" borderId="0" xfId="0" applyFont="1" applyFill="1">
      <alignment vertical="center"/>
    </xf>
    <xf numFmtId="0" fontId="28" fillId="2" borderId="0" xfId="9" applyFont="1" applyFill="1">
      <alignment vertical="center"/>
    </xf>
    <xf numFmtId="0" fontId="30" fillId="2" borderId="0" xfId="0" applyFont="1" applyFill="1" applyBorder="1" applyAlignment="1">
      <alignment horizontal="left" vertical="center"/>
    </xf>
    <xf numFmtId="17" fontId="4" fillId="4" borderId="2" xfId="21" applyNumberFormat="1" applyFont="1" applyFill="1" applyBorder="1" applyAlignment="1">
      <alignment horizontal="center" vertical="center"/>
    </xf>
    <xf numFmtId="17" fontId="4" fillId="0" borderId="2" xfId="21" applyNumberFormat="1" applyFont="1" applyFill="1" applyBorder="1" applyAlignment="1">
      <alignment horizontal="center" vertical="center"/>
    </xf>
    <xf numFmtId="0" fontId="12" fillId="0" borderId="0" xfId="59" applyFill="1">
      <alignment vertical="center"/>
    </xf>
    <xf numFmtId="0" fontId="45" fillId="0" borderId="0" xfId="9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32" fillId="0" borderId="0" xfId="0" applyFont="1" applyFill="1" applyBorder="1">
      <alignment vertical="center"/>
    </xf>
    <xf numFmtId="15" fontId="4" fillId="0" borderId="0" xfId="21" applyNumberFormat="1" applyFont="1" applyFill="1" applyBorder="1" applyAlignment="1">
      <alignment horizontal="center" vertical="center"/>
    </xf>
    <xf numFmtId="177" fontId="4" fillId="0" borderId="0" xfId="25" applyNumberFormat="1" applyFont="1" applyFill="1" applyBorder="1">
      <alignment vertical="center"/>
    </xf>
    <xf numFmtId="0" fontId="26" fillId="0" borderId="0" xfId="30" applyFont="1">
      <alignment vertical="center"/>
    </xf>
    <xf numFmtId="0" fontId="4" fillId="4" borderId="0" xfId="10" applyFont="1" applyFill="1">
      <alignment vertical="center"/>
    </xf>
    <xf numFmtId="169" fontId="4" fillId="0" borderId="0" xfId="25" applyNumberFormat="1" applyFont="1" applyFill="1" applyBorder="1">
      <alignment vertical="center"/>
    </xf>
    <xf numFmtId="0" fontId="30" fillId="4" borderId="0" xfId="10" applyFont="1" applyFill="1" applyAlignment="1">
      <alignment horizontal="left" vertical="center"/>
    </xf>
    <xf numFmtId="0" fontId="30" fillId="0" borderId="0" xfId="0" applyFont="1" applyFill="1" applyBorder="1">
      <alignment vertical="center"/>
    </xf>
    <xf numFmtId="0" fontId="49" fillId="2" borderId="0" xfId="7" applyFont="1" applyFill="1">
      <alignment vertical="center"/>
    </xf>
    <xf numFmtId="0" fontId="49" fillId="2" borderId="0" xfId="7" applyFont="1" applyFill="1" applyBorder="1">
      <alignment vertical="center"/>
    </xf>
    <xf numFmtId="0" fontId="29" fillId="2" borderId="0" xfId="8" applyFont="1" applyFill="1">
      <alignment vertical="center"/>
    </xf>
    <xf numFmtId="179" fontId="31" fillId="2" borderId="3" xfId="22" applyNumberFormat="1" applyFont="1" applyFill="1" applyBorder="1" applyAlignment="1">
      <alignment horizontal="right" vertical="center"/>
    </xf>
    <xf numFmtId="172" fontId="32" fillId="2" borderId="7" xfId="22" applyNumberFormat="1" applyFont="1" applyFill="1" applyBorder="1" applyAlignment="1">
      <alignment horizontal="right" vertical="center"/>
    </xf>
    <xf numFmtId="172" fontId="30" fillId="4" borderId="2" xfId="15" applyNumberFormat="1" applyFont="1" applyFill="1" applyBorder="1">
      <alignment vertical="center"/>
      <protection locked="0"/>
    </xf>
    <xf numFmtId="0" fontId="28" fillId="0" borderId="11" xfId="7" applyFont="1" applyBorder="1" applyAlignment="1">
      <alignment horizontal="center" vertical="center"/>
    </xf>
    <xf numFmtId="172" fontId="37" fillId="0" borderId="0" xfId="33" applyNumberFormat="1" applyFont="1" applyAlignment="1">
      <alignment horizontal="center" vertical="center"/>
    </xf>
    <xf numFmtId="172" fontId="51" fillId="0" borderId="0" xfId="35" applyNumberFormat="1" applyFont="1" applyAlignment="1">
      <alignment horizontal="center" vertical="center"/>
    </xf>
    <xf numFmtId="0" fontId="51" fillId="0" borderId="0" xfId="36" applyFont="1" applyAlignment="1">
      <alignment horizontal="center" vertical="center"/>
    </xf>
    <xf numFmtId="172" fontId="27" fillId="0" borderId="16" xfId="10" applyNumberFormat="1" applyFont="1" applyBorder="1" applyAlignment="1">
      <alignment horizontal="center" vertical="center"/>
    </xf>
    <xf numFmtId="0" fontId="4" fillId="0" borderId="0" xfId="59" applyFont="1" applyFill="1">
      <alignment vertical="center"/>
    </xf>
    <xf numFmtId="0" fontId="4" fillId="5" borderId="0" xfId="59" applyFont="1" applyFill="1">
      <alignment vertical="center"/>
    </xf>
    <xf numFmtId="0" fontId="46" fillId="0" borderId="0" xfId="19" applyFont="1" applyAlignment="1">
      <alignment horizontal="center" vertical="center"/>
      <protection locked="0"/>
    </xf>
    <xf numFmtId="0" fontId="31" fillId="0" borderId="0" xfId="9" applyFont="1" applyAlignment="1">
      <alignment horizontal="left" vertical="center"/>
    </xf>
    <xf numFmtId="172" fontId="31" fillId="0" borderId="12" xfId="22" applyNumberFormat="1" applyFont="1" applyBorder="1" applyAlignment="1">
      <alignment horizontal="center" vertical="center"/>
    </xf>
    <xf numFmtId="172" fontId="27" fillId="0" borderId="0" xfId="9" applyNumberFormat="1" applyFont="1" applyAlignment="1">
      <alignment horizontal="left" vertical="center"/>
    </xf>
    <xf numFmtId="172" fontId="32" fillId="0" borderId="13" xfId="10" applyNumberFormat="1" applyFont="1" applyBorder="1" applyAlignment="1">
      <alignment horizontal="left" vertical="center"/>
    </xf>
    <xf numFmtId="0" fontId="27" fillId="0" borderId="11" xfId="9" applyFont="1" applyBorder="1" applyAlignment="1">
      <alignment horizontal="left" vertical="center"/>
    </xf>
    <xf numFmtId="0" fontId="27" fillId="0" borderId="11" xfId="9" applyFont="1" applyBorder="1" applyAlignment="1">
      <alignment horizontal="center" vertical="center"/>
    </xf>
    <xf numFmtId="0" fontId="27" fillId="0" borderId="0" xfId="9" applyFont="1" applyBorder="1" applyAlignment="1">
      <alignment horizontal="left" vertical="center"/>
    </xf>
    <xf numFmtId="0" fontId="27" fillId="0" borderId="0" xfId="9" applyFont="1" applyBorder="1" applyAlignment="1">
      <alignment horizontal="center" vertical="center"/>
    </xf>
    <xf numFmtId="0" fontId="53" fillId="0" borderId="0" xfId="60" applyFont="1">
      <alignment vertical="center"/>
    </xf>
    <xf numFmtId="172" fontId="4" fillId="0" borderId="0" xfId="22" applyNumberFormat="1" applyFont="1" applyAlignment="1">
      <alignment horizontal="center" vertical="center"/>
    </xf>
    <xf numFmtId="0" fontId="30" fillId="0" borderId="0" xfId="19" applyFont="1" applyAlignment="1">
      <alignment horizontal="center" vertical="center"/>
      <protection locked="0"/>
    </xf>
    <xf numFmtId="172" fontId="41" fillId="0" borderId="0" xfId="22" applyNumberFormat="1" applyFont="1" applyAlignment="1">
      <alignment horizontal="center" vertical="center"/>
    </xf>
    <xf numFmtId="172" fontId="32" fillId="0" borderId="2" xfId="22" applyNumberFormat="1" applyFont="1" applyBorder="1" applyAlignment="1">
      <alignment horizontal="center" vertical="center"/>
    </xf>
    <xf numFmtId="0" fontId="28" fillId="0" borderId="0" xfId="7" applyFont="1" applyFill="1" applyAlignment="1">
      <alignment horizontal="left" vertical="center"/>
    </xf>
    <xf numFmtId="165" fontId="30" fillId="0" borderId="1" xfId="14" applyFont="1" applyFill="1" applyAlignment="1">
      <alignment horizontal="left" vertical="center"/>
      <protection locked="0"/>
    </xf>
    <xf numFmtId="169" fontId="30" fillId="0" borderId="1" xfId="18" applyFont="1" applyFill="1" applyAlignment="1">
      <alignment horizontal="left" vertical="center"/>
      <protection locked="0"/>
    </xf>
    <xf numFmtId="172" fontId="30" fillId="0" borderId="1" xfId="15" applyNumberFormat="1" applyFont="1" applyFill="1" applyAlignment="1">
      <alignment horizontal="left" vertical="center"/>
      <protection locked="0"/>
    </xf>
    <xf numFmtId="171" fontId="30" fillId="0" borderId="1" xfId="16" applyNumberFormat="1" applyFont="1" applyFill="1" applyAlignment="1">
      <alignment horizontal="left" vertical="center"/>
      <protection locked="0"/>
    </xf>
    <xf numFmtId="0" fontId="15" fillId="2" borderId="0" xfId="31" applyFont="1" applyFill="1">
      <alignment horizontal="center" vertical="center"/>
    </xf>
    <xf numFmtId="0" fontId="15" fillId="2" borderId="0" xfId="31" applyFont="1" applyFill="1" applyAlignment="1">
      <alignment horizontal="right" vertical="center"/>
    </xf>
    <xf numFmtId="0" fontId="15" fillId="2" borderId="0" xfId="31" applyFont="1" applyFill="1" applyAlignment="1">
      <alignment horizontal="left" vertical="center"/>
    </xf>
    <xf numFmtId="0" fontId="15" fillId="2" borderId="0" xfId="32" applyFont="1" applyFill="1" applyAlignment="1">
      <alignment horizontal="right" vertical="center"/>
    </xf>
    <xf numFmtId="0" fontId="15" fillId="2" borderId="0" xfId="32" applyFont="1" applyFill="1" applyAlignment="1">
      <alignment horizontal="left" vertical="center"/>
    </xf>
    <xf numFmtId="0" fontId="54" fillId="2" borderId="0" xfId="3" applyFont="1" applyFill="1"/>
    <xf numFmtId="0" fontId="55" fillId="2" borderId="0" xfId="0" applyFont="1" applyFill="1">
      <alignment vertical="center"/>
    </xf>
    <xf numFmtId="0" fontId="36" fillId="0" borderId="0" xfId="6" applyFont="1" applyFill="1">
      <alignment vertical="center"/>
    </xf>
    <xf numFmtId="0" fontId="15" fillId="0" borderId="0" xfId="31" applyFill="1">
      <alignment horizontal="center" vertical="center"/>
    </xf>
    <xf numFmtId="0" fontId="15" fillId="0" borderId="0" xfId="31" applyFill="1" applyAlignment="1">
      <alignment horizontal="right" vertical="center"/>
    </xf>
    <xf numFmtId="0" fontId="15" fillId="0" borderId="0" xfId="31" applyFill="1" applyAlignment="1">
      <alignment horizontal="left" vertical="center"/>
    </xf>
    <xf numFmtId="0" fontId="15" fillId="0" borderId="0" xfId="32" applyFill="1" applyAlignment="1">
      <alignment horizontal="right" vertical="center"/>
    </xf>
    <xf numFmtId="0" fontId="15" fillId="0" borderId="0" xfId="32" applyFill="1" applyAlignment="1">
      <alignment horizontal="left" vertical="center"/>
    </xf>
    <xf numFmtId="0" fontId="37" fillId="0" borderId="0" xfId="31" applyFont="1" applyFill="1">
      <alignment horizontal="center" vertical="center"/>
    </xf>
    <xf numFmtId="0" fontId="37" fillId="0" borderId="0" xfId="31" applyFont="1" applyFill="1" applyAlignment="1">
      <alignment horizontal="right" vertical="center"/>
    </xf>
    <xf numFmtId="0" fontId="37" fillId="0" borderId="0" xfId="31" applyFont="1" applyFill="1" applyAlignment="1">
      <alignment horizontal="left" vertical="center"/>
    </xf>
    <xf numFmtId="0" fontId="37" fillId="0" borderId="0" xfId="32" applyFont="1" applyFill="1" applyAlignment="1">
      <alignment horizontal="right" vertical="center"/>
    </xf>
    <xf numFmtId="0" fontId="37" fillId="0" borderId="0" xfId="32" applyFont="1" applyFill="1" applyAlignment="1">
      <alignment horizontal="center" vertical="center"/>
    </xf>
    <xf numFmtId="0" fontId="37" fillId="0" borderId="0" xfId="32" applyFont="1" applyFill="1" applyAlignment="1">
      <alignment horizontal="left" vertical="center"/>
    </xf>
    <xf numFmtId="0" fontId="34" fillId="0" borderId="0" xfId="7" applyFont="1" applyFill="1">
      <alignment vertical="center"/>
    </xf>
    <xf numFmtId="165" fontId="45" fillId="0" borderId="0" xfId="0" applyNumberFormat="1" applyFont="1" applyFill="1">
      <alignment vertical="center"/>
    </xf>
    <xf numFmtId="0" fontId="36" fillId="0" borderId="0" xfId="39" applyFont="1" applyFill="1">
      <alignment vertical="center"/>
    </xf>
    <xf numFmtId="0" fontId="15" fillId="0" borderId="0" xfId="53" applyFill="1">
      <alignment horizontal="center" vertical="center"/>
    </xf>
    <xf numFmtId="167" fontId="4" fillId="0" borderId="0" xfId="59" applyNumberFormat="1" applyFont="1" applyFill="1">
      <alignment vertical="center"/>
    </xf>
    <xf numFmtId="0" fontId="47" fillId="0" borderId="0" xfId="0" applyFont="1" applyFill="1">
      <alignment vertical="center"/>
    </xf>
    <xf numFmtId="0" fontId="30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48" fillId="0" borderId="0" xfId="0" applyFont="1" applyFill="1">
      <alignment vertical="center"/>
    </xf>
    <xf numFmtId="0" fontId="28" fillId="0" borderId="0" xfId="7" applyFont="1" applyFill="1">
      <alignment vertical="center"/>
    </xf>
    <xf numFmtId="0" fontId="39" fillId="0" borderId="0" xfId="7" applyFont="1" applyFill="1">
      <alignment vertical="center"/>
    </xf>
    <xf numFmtId="179" fontId="31" fillId="0" borderId="2" xfId="22" applyNumberFormat="1" applyFont="1" applyFill="1" applyBorder="1" applyAlignment="1">
      <alignment horizontal="right" vertical="center"/>
    </xf>
    <xf numFmtId="0" fontId="27" fillId="0" borderId="11" xfId="0" applyFont="1" applyFill="1" applyBorder="1">
      <alignment vertical="center"/>
    </xf>
    <xf numFmtId="0" fontId="42" fillId="0" borderId="0" xfId="9" applyFont="1" applyFill="1">
      <alignment vertical="center"/>
    </xf>
    <xf numFmtId="0" fontId="42" fillId="0" borderId="0" xfId="9" applyFont="1" applyFill="1" applyAlignment="1">
      <alignment horizontal="center" vertical="center"/>
    </xf>
    <xf numFmtId="0" fontId="31" fillId="0" borderId="0" xfId="0" applyFont="1" applyFill="1" applyAlignment="1">
      <alignment horizontal="center" vertical="center"/>
    </xf>
    <xf numFmtId="0" fontId="30" fillId="0" borderId="6" xfId="0" applyFont="1" applyFill="1" applyBorder="1" applyAlignment="1">
      <alignment horizontal="center" vertical="center"/>
    </xf>
    <xf numFmtId="0" fontId="30" fillId="0" borderId="7" xfId="0" applyFont="1" applyFill="1" applyBorder="1" applyAlignment="1">
      <alignment horizontal="center" vertical="center"/>
    </xf>
    <xf numFmtId="172" fontId="4" fillId="0" borderId="2" xfId="0" applyNumberFormat="1" applyFont="1" applyFill="1" applyBorder="1" applyAlignment="1">
      <alignment horizontal="center" vertical="center"/>
    </xf>
    <xf numFmtId="0" fontId="4" fillId="0" borderId="11" xfId="0" applyFont="1" applyFill="1" applyBorder="1">
      <alignment vertical="center"/>
    </xf>
    <xf numFmtId="0" fontId="47" fillId="0" borderId="11" xfId="0" applyFont="1" applyFill="1" applyBorder="1">
      <alignment vertical="center"/>
    </xf>
    <xf numFmtId="0" fontId="30" fillId="0" borderId="8" xfId="0" applyFont="1" applyFill="1" applyBorder="1" applyAlignment="1">
      <alignment horizontal="center" vertical="center"/>
    </xf>
    <xf numFmtId="0" fontId="27" fillId="0" borderId="2" xfId="0" applyFont="1" applyFill="1" applyBorder="1" applyAlignment="1">
      <alignment horizontal="center" vertical="center"/>
    </xf>
    <xf numFmtId="0" fontId="42" fillId="0" borderId="0" xfId="0" applyFont="1" applyFill="1">
      <alignment vertical="center"/>
    </xf>
    <xf numFmtId="175" fontId="30" fillId="0" borderId="7" xfId="0" applyNumberFormat="1" applyFont="1" applyFill="1" applyBorder="1" applyAlignment="1">
      <alignment horizontal="center" vertical="center"/>
    </xf>
    <xf numFmtId="175" fontId="4" fillId="0" borderId="2" xfId="0" applyNumberFormat="1" applyFont="1" applyFill="1" applyBorder="1" applyAlignment="1">
      <alignment horizontal="center" vertical="center"/>
    </xf>
    <xf numFmtId="0" fontId="31" fillId="0" borderId="0" xfId="0" applyFont="1" applyFill="1">
      <alignment vertical="center"/>
    </xf>
    <xf numFmtId="175" fontId="30" fillId="0" borderId="7" xfId="22" applyNumberFormat="1" applyFont="1" applyFill="1" applyBorder="1">
      <alignment vertical="center"/>
    </xf>
    <xf numFmtId="175" fontId="4" fillId="0" borderId="2" xfId="22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center" vertical="center"/>
    </xf>
    <xf numFmtId="0" fontId="4" fillId="0" borderId="15" xfId="0" applyFont="1" applyFill="1" applyBorder="1">
      <alignment vertical="center"/>
    </xf>
    <xf numFmtId="0" fontId="47" fillId="0" borderId="15" xfId="0" applyFont="1" applyFill="1" applyBorder="1">
      <alignment vertical="center"/>
    </xf>
    <xf numFmtId="0" fontId="30" fillId="0" borderId="15" xfId="0" applyFont="1" applyFill="1" applyBorder="1">
      <alignment vertical="center"/>
    </xf>
    <xf numFmtId="0" fontId="4" fillId="0" borderId="15" xfId="0" applyFont="1" applyFill="1" applyBorder="1" applyAlignment="1">
      <alignment horizontal="center" vertical="center"/>
    </xf>
    <xf numFmtId="0" fontId="31" fillId="0" borderId="15" xfId="0" applyFont="1" applyFill="1" applyBorder="1" applyAlignment="1">
      <alignment horizontal="center" vertical="center"/>
    </xf>
    <xf numFmtId="0" fontId="39" fillId="0" borderId="0" xfId="0" applyFont="1" applyFill="1">
      <alignment vertical="center"/>
    </xf>
    <xf numFmtId="0" fontId="30" fillId="0" borderId="5" xfId="0" applyFont="1" applyFill="1" applyBorder="1" applyAlignment="1">
      <alignment horizontal="center" vertical="center"/>
    </xf>
    <xf numFmtId="175" fontId="30" fillId="0" borderId="7" xfId="25" applyNumberFormat="1" applyFont="1" applyFill="1" applyBorder="1">
      <alignment vertical="center"/>
    </xf>
    <xf numFmtId="169" fontId="4" fillId="0" borderId="2" xfId="25" applyFont="1" applyFill="1" applyBorder="1" applyAlignment="1">
      <alignment horizontal="center" vertical="center"/>
    </xf>
    <xf numFmtId="167" fontId="30" fillId="0" borderId="7" xfId="23" applyFont="1" applyFill="1" applyBorder="1" applyAlignment="1">
      <alignment horizontal="center" vertical="center"/>
    </xf>
    <xf numFmtId="167" fontId="4" fillId="0" borderId="2" xfId="23" applyFont="1" applyFill="1" applyBorder="1" applyAlignment="1">
      <alignment horizontal="center" vertical="center"/>
    </xf>
    <xf numFmtId="0" fontId="24" fillId="0" borderId="0" xfId="37" applyFont="1" applyFill="1">
      <alignment vertical="center"/>
    </xf>
    <xf numFmtId="0" fontId="56" fillId="0" borderId="0" xfId="10" applyFont="1">
      <alignment vertical="center"/>
    </xf>
    <xf numFmtId="174" fontId="4" fillId="2" borderId="0" xfId="0" applyNumberFormat="1" applyFont="1" applyFill="1" applyAlignment="1">
      <alignment horizontal="center" vertical="center"/>
    </xf>
    <xf numFmtId="166" fontId="30" fillId="0" borderId="1" xfId="15" applyFont="1" applyFill="1" applyAlignment="1">
      <alignment horizontal="center" vertical="center"/>
      <protection locked="0"/>
    </xf>
    <xf numFmtId="169" fontId="31" fillId="2" borderId="1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75" fontId="30" fillId="0" borderId="10" xfId="18" applyNumberFormat="1" applyFont="1" applyFill="1" applyBorder="1" applyAlignment="1">
      <alignment horizontal="center" vertical="center"/>
      <protection locked="0"/>
    </xf>
    <xf numFmtId="169" fontId="31" fillId="2" borderId="0" xfId="25" applyFont="1" applyFill="1" applyBorder="1" applyAlignment="1">
      <alignment horizontal="center" vertical="center"/>
    </xf>
    <xf numFmtId="167" fontId="30" fillId="0" borderId="1" xfId="16" applyFont="1" applyFill="1" applyAlignment="1">
      <alignment horizontal="center" vertical="center"/>
      <protection locked="0"/>
    </xf>
    <xf numFmtId="166" fontId="31" fillId="2" borderId="0" xfId="0" applyNumberFormat="1" applyFont="1" applyFill="1" applyAlignment="1">
      <alignment horizontal="center" vertical="center"/>
    </xf>
    <xf numFmtId="172" fontId="30" fillId="0" borderId="1" xfId="15" applyNumberFormat="1" applyFont="1" applyFill="1" applyAlignment="1">
      <alignment horizontal="center" vertical="center"/>
      <protection locked="0"/>
    </xf>
    <xf numFmtId="0" fontId="31" fillId="2" borderId="0" xfId="0" applyFont="1" applyFill="1" applyAlignment="1">
      <alignment horizontal="center" vertical="center"/>
    </xf>
    <xf numFmtId="172" fontId="30" fillId="4" borderId="1" xfId="15" applyNumberFormat="1" applyFont="1" applyFill="1" applyAlignment="1">
      <alignment horizontal="center" vertical="center"/>
      <protection locked="0"/>
    </xf>
    <xf numFmtId="166" fontId="4" fillId="2" borderId="0" xfId="22" applyFont="1" applyFill="1" applyAlignment="1">
      <alignment horizontal="center" vertical="center"/>
    </xf>
    <xf numFmtId="169" fontId="4" fillId="2" borderId="0" xfId="0" applyNumberFormat="1" applyFont="1" applyFill="1" applyAlignment="1">
      <alignment horizontal="center" vertical="center"/>
    </xf>
    <xf numFmtId="171" fontId="31" fillId="2" borderId="9" xfId="23" applyNumberFormat="1" applyFont="1" applyFill="1" applyBorder="1" applyAlignment="1">
      <alignment horizontal="center" vertical="center"/>
    </xf>
    <xf numFmtId="0" fontId="31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169" fontId="31" fillId="2" borderId="5" xfId="0" applyNumberFormat="1" applyFont="1" applyFill="1" applyBorder="1" applyAlignment="1">
      <alignment horizontal="center" vertical="center"/>
    </xf>
    <xf numFmtId="175" fontId="4" fillId="2" borderId="0" xfId="25" applyNumberFormat="1" applyFont="1" applyFill="1" applyBorder="1" applyAlignment="1">
      <alignment horizontal="center" vertical="center"/>
    </xf>
    <xf numFmtId="0" fontId="30" fillId="0" borderId="0" xfId="9" applyFont="1" applyAlignment="1">
      <alignment horizontal="left" vertical="center"/>
    </xf>
    <xf numFmtId="0" fontId="30" fillId="0" borderId="0" xfId="10" applyFont="1" applyAlignment="1">
      <alignment horizontal="left" vertical="center"/>
    </xf>
    <xf numFmtId="0" fontId="30" fillId="0" borderId="0" xfId="10" applyFont="1" applyAlignment="1">
      <alignment horizontal="center" vertical="center"/>
    </xf>
    <xf numFmtId="0" fontId="29" fillId="0" borderId="11" xfId="8" applyFont="1" applyBorder="1" applyAlignment="1">
      <alignment horizontal="center" vertical="center"/>
    </xf>
    <xf numFmtId="0" fontId="26" fillId="0" borderId="0" xfId="30" applyFont="1">
      <alignment vertical="center"/>
    </xf>
    <xf numFmtId="0" fontId="30" fillId="0" borderId="0" xfId="10" applyFont="1" applyAlignment="1">
      <alignment horizontal="left" vertical="top" wrapText="1"/>
    </xf>
    <xf numFmtId="0" fontId="27" fillId="0" borderId="0" xfId="9" applyFont="1" applyAlignment="1">
      <alignment horizontal="center" vertical="top"/>
    </xf>
    <xf numFmtId="0" fontId="31" fillId="0" borderId="0" xfId="9" applyFont="1" applyAlignment="1">
      <alignment horizontal="center" vertical="top"/>
    </xf>
    <xf numFmtId="0" fontId="32" fillId="0" borderId="0" xfId="9" applyFont="1" applyAlignment="1">
      <alignment horizontal="center" vertical="top"/>
    </xf>
    <xf numFmtId="0" fontId="33" fillId="0" borderId="0" xfId="9" applyFont="1" applyAlignment="1">
      <alignment horizontal="center" vertical="top"/>
    </xf>
    <xf numFmtId="0" fontId="26" fillId="0" borderId="0" xfId="30" applyFont="1" applyAlignment="1">
      <alignment horizontal="center" vertical="top"/>
    </xf>
    <xf numFmtId="0" fontId="4" fillId="2" borderId="4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5" borderId="4" xfId="0" applyFont="1" applyFill="1" applyBorder="1">
      <alignment vertical="center"/>
    </xf>
    <xf numFmtId="0" fontId="4" fillId="5" borderId="17" xfId="0" applyFont="1" applyFill="1" applyBorder="1">
      <alignment vertical="center"/>
    </xf>
    <xf numFmtId="0" fontId="15" fillId="0" borderId="0" xfId="31" applyAlignment="1">
      <alignment horizontal="center" vertical="top"/>
    </xf>
    <xf numFmtId="0" fontId="4" fillId="4" borderId="4" xfId="0" applyFont="1" applyFill="1" applyBorder="1">
      <alignment vertical="center"/>
    </xf>
    <xf numFmtId="0" fontId="4" fillId="4" borderId="17" xfId="0" applyFont="1" applyFill="1" applyBorder="1">
      <alignment vertical="center"/>
    </xf>
    <xf numFmtId="0" fontId="30" fillId="0" borderId="0" xfId="10" applyFont="1" applyAlignment="1">
      <alignment horizontal="center" vertical="top"/>
    </xf>
    <xf numFmtId="178" fontId="50" fillId="0" borderId="0" xfId="33" applyNumberFormat="1" applyFont="1" applyAlignment="1">
      <alignment horizontal="right" vertical="center"/>
    </xf>
    <xf numFmtId="0" fontId="50" fillId="0" borderId="0" xfId="33" applyFont="1">
      <alignment vertical="center"/>
    </xf>
    <xf numFmtId="0" fontId="51" fillId="0" borderId="0" xfId="35" applyFont="1">
      <alignment vertical="center"/>
    </xf>
    <xf numFmtId="0" fontId="26" fillId="0" borderId="0" xfId="30" quotePrefix="1" applyFont="1">
      <alignment vertical="center"/>
    </xf>
    <xf numFmtId="0" fontId="51" fillId="0" borderId="0" xfId="35" quotePrefix="1" applyFont="1" applyAlignment="1">
      <alignment horizontal="right" vertical="center"/>
    </xf>
    <xf numFmtId="0" fontId="51" fillId="0" borderId="0" xfId="36" applyFont="1">
      <alignment vertical="center"/>
    </xf>
    <xf numFmtId="0" fontId="26" fillId="2" borderId="0" xfId="30" applyFont="1" applyFill="1">
      <alignment vertical="center"/>
    </xf>
    <xf numFmtId="0" fontId="33" fillId="2" borderId="0" xfId="9" applyFont="1" applyFill="1" applyAlignment="1">
      <alignment horizontal="left" vertical="top"/>
    </xf>
    <xf numFmtId="0" fontId="26" fillId="0" borderId="0" xfId="30" applyFont="1" applyFill="1">
      <alignment vertical="center"/>
    </xf>
    <xf numFmtId="0" fontId="14" fillId="0" borderId="0" xfId="30" applyFill="1">
      <alignment vertical="center"/>
    </xf>
    <xf numFmtId="0" fontId="26" fillId="0" borderId="0" xfId="52" applyFont="1" applyFill="1">
      <alignment vertical="center"/>
    </xf>
    <xf numFmtId="0" fontId="52" fillId="6" borderId="4" xfId="41" applyFont="1" applyFill="1" applyBorder="1" applyAlignment="1">
      <alignment horizontal="center" vertical="center"/>
    </xf>
    <xf numFmtId="0" fontId="52" fillId="6" borderId="5" xfId="41" applyFont="1" applyFill="1" applyBorder="1" applyAlignment="1">
      <alignment horizontal="center" vertical="center"/>
    </xf>
    <xf numFmtId="0" fontId="52" fillId="6" borderId="17" xfId="41" applyFont="1" applyFill="1" applyBorder="1" applyAlignment="1">
      <alignment horizontal="center" vertical="center"/>
    </xf>
    <xf numFmtId="0" fontId="15" fillId="0" borderId="0" xfId="53" applyFill="1" applyAlignment="1">
      <alignment horizontal="right" vertical="center"/>
    </xf>
    <xf numFmtId="0" fontId="15" fillId="0" borderId="0" xfId="53" applyFill="1" applyAlignment="1">
      <alignment horizontal="left" vertical="center"/>
    </xf>
    <xf numFmtId="0" fontId="15" fillId="0" borderId="0" xfId="54" applyFill="1" applyAlignment="1">
      <alignment horizontal="right" vertical="center"/>
    </xf>
    <xf numFmtId="0" fontId="15" fillId="0" borderId="0" xfId="54" applyFill="1" applyAlignment="1">
      <alignment horizontal="left" vertical="center"/>
    </xf>
  </cellXfs>
  <cellStyles count="61">
    <cellStyle name="Assumption Currency." xfId="18"/>
    <cellStyle name="Assumption Date." xfId="14"/>
    <cellStyle name="Assumption Heading." xfId="12"/>
    <cellStyle name="Assumption Multiple." xfId="17"/>
    <cellStyle name="Assumption Number." xfId="15"/>
    <cellStyle name="Assumption Percentage." xfId="16"/>
    <cellStyle name="Assumption Year." xfId="13"/>
    <cellStyle name="Cell Link." xfId="19"/>
    <cellStyle name="Currency." xfId="25"/>
    <cellStyle name="Date." xfId="21"/>
    <cellStyle name="Header1" xfId="1"/>
    <cellStyle name="Header2" xfId="2"/>
    <cellStyle name="Heading 1." xfId="7"/>
    <cellStyle name="Heading 2." xfId="8"/>
    <cellStyle name="Heading 3." xfId="9"/>
    <cellStyle name="Heading 4." xfId="10"/>
    <cellStyle name="Hyperlink" xfId="60" builtinId="8"/>
    <cellStyle name="Hyperlink Arrow." xfId="31"/>
    <cellStyle name="Hyperlink Check." xfId="32"/>
    <cellStyle name="Hyperlink Text." xfId="30"/>
    <cellStyle name="Hyperlink TOC 1." xfId="33"/>
    <cellStyle name="Hyperlink TOC 2." xfId="34"/>
    <cellStyle name="Hyperlink TOC 3." xfId="35"/>
    <cellStyle name="Hyperlink TOC 4." xfId="36"/>
    <cellStyle name="Info" xfId="3"/>
    <cellStyle name="Lookup Table Heading." xfId="27"/>
    <cellStyle name="Lookup Table Label." xfId="29"/>
    <cellStyle name="Lookup Table Number." xfId="28"/>
    <cellStyle name="Model Name." xfId="6"/>
    <cellStyle name="Multiple." xfId="24"/>
    <cellStyle name="Normal" xfId="0" builtinId="0" customBuiltin="1"/>
    <cellStyle name="Number." xfId="22"/>
    <cellStyle name="Percentage." xfId="23"/>
    <cellStyle name="Period Title." xfId="26"/>
    <cellStyle name="Presentation Currency." xfId="48"/>
    <cellStyle name="Presentation Date." xfId="50"/>
    <cellStyle name="Presentation Heading 1." xfId="40"/>
    <cellStyle name="Presentation Heading 2." xfId="41"/>
    <cellStyle name="Presentation Heading 3." xfId="42"/>
    <cellStyle name="Presentation Heading 4." xfId="43"/>
    <cellStyle name="Presentation Hyperlink Arrow." xfId="53"/>
    <cellStyle name="Presentation Hyperlink Check." xfId="54"/>
    <cellStyle name="Presentation Hyperlink Text." xfId="52"/>
    <cellStyle name="Presentation Model Name." xfId="39"/>
    <cellStyle name="Presentation Multiple." xfId="47"/>
    <cellStyle name="Presentation Normal." xfId="59"/>
    <cellStyle name="Presentation Number." xfId="45"/>
    <cellStyle name="Presentation Percentage." xfId="46"/>
    <cellStyle name="Presentation Period Title." xfId="51"/>
    <cellStyle name="Presentation Section Number." xfId="38"/>
    <cellStyle name="Presentation Sheet Title." xfId="37"/>
    <cellStyle name="Presentation Sub Total." xfId="44"/>
    <cellStyle name="Presentation TOC 1." xfId="55"/>
    <cellStyle name="Presentation TOC 2." xfId="56"/>
    <cellStyle name="Presentation TOC 3." xfId="57"/>
    <cellStyle name="Presentation TOC 4." xfId="58"/>
    <cellStyle name="Presentation Year." xfId="49"/>
    <cellStyle name="Section Number." xfId="5"/>
    <cellStyle name="Sheet Title." xfId="4"/>
    <cellStyle name="Sub Total." xfId="11"/>
    <cellStyle name="Year." xfId="20"/>
  </cellStyles>
  <dxfs count="27">
    <dxf>
      <font>
        <b/>
        <i/>
        <color indexed="58"/>
      </font>
    </dxf>
    <dxf>
      <font>
        <b/>
        <i/>
        <color indexed="58"/>
      </font>
    </dxf>
    <dxf>
      <font>
        <b/>
        <i/>
        <color indexed="58"/>
      </font>
    </dxf>
    <dxf>
      <font>
        <b/>
        <i/>
        <color indexed="58"/>
      </font>
    </dxf>
    <dxf>
      <font>
        <b/>
        <i/>
        <color indexed="58"/>
      </font>
    </dxf>
    <dxf>
      <font>
        <b/>
        <i/>
        <color indexed="58"/>
      </font>
    </dxf>
    <dxf>
      <font>
        <b/>
        <i/>
        <color indexed="58"/>
      </font>
    </dxf>
    <dxf>
      <font>
        <b/>
        <i/>
        <color indexed="58"/>
      </font>
    </dxf>
    <dxf>
      <font>
        <b/>
        <i/>
        <color indexed="58"/>
      </font>
    </dxf>
    <dxf>
      <font>
        <b/>
        <i/>
        <color indexed="58"/>
      </font>
    </dxf>
    <dxf>
      <font>
        <b/>
        <i/>
        <color indexed="58"/>
      </font>
    </dxf>
    <dxf>
      <font>
        <b/>
        <i/>
        <color indexed="58"/>
      </font>
    </dxf>
    <dxf>
      <font>
        <b/>
        <i/>
        <color indexed="58"/>
      </font>
    </dxf>
    <dxf>
      <font>
        <b/>
        <i/>
        <color indexed="58"/>
      </font>
    </dxf>
    <dxf>
      <font>
        <b/>
        <i/>
        <color indexed="58"/>
      </font>
    </dxf>
    <dxf>
      <font>
        <b/>
        <i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indexed="58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indexed="58"/>
      </font>
    </dxf>
    <dxf>
      <font>
        <b/>
        <i val="0"/>
        <color indexed="5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C0C0C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993366"/>
      <rgbColor rgb="00339966"/>
      <rgbColor rgb="00CB2840"/>
      <rgbColor rgb="00007767"/>
      <rgbColor rgb="000069B3"/>
      <rgbColor rgb="00993366"/>
      <rgbColor rgb="00FFFF78"/>
      <rgbColor rgb="00FFFFF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0274443525701"/>
          <c:y val="7.314829396325459E-2"/>
          <c:w val="0.59747518177800751"/>
          <c:h val="0.7558254593175851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Dashboard_P_MS!$CS$12</c:f>
              <c:strCache>
                <c:ptCount val="1"/>
                <c:pt idx="0">
                  <c:v>Payment</c:v>
                </c:pt>
              </c:strCache>
            </c:strRef>
          </c:tx>
          <c:invertIfNegative val="0"/>
          <c:cat>
            <c:numRef>
              <c:f>Dashboard_P_MS!$CU$9:$CZ$9</c:f>
              <c:numCache>
                <c:formatCode>d\-mmm\-yy</c:formatCode>
                <c:ptCount val="6"/>
                <c:pt idx="0">
                  <c:v>42082</c:v>
                </c:pt>
                <c:pt idx="1">
                  <c:v>42113</c:v>
                </c:pt>
                <c:pt idx="2">
                  <c:v>42143</c:v>
                </c:pt>
                <c:pt idx="3">
                  <c:v>42174</c:v>
                </c:pt>
                <c:pt idx="4">
                  <c:v>42204</c:v>
                </c:pt>
                <c:pt idx="5">
                  <c:v>42235</c:v>
                </c:pt>
              </c:numCache>
            </c:numRef>
          </c:cat>
          <c:val>
            <c:numRef>
              <c:f>Dashboard_P_MS!$CU$12:$CZ$12</c:f>
              <c:numCache>
                <c:formatCode>_("$"#,##0_);\("$"#,##0\);_("-"_);_)@_)</c:formatCode>
                <c:ptCount val="6"/>
                <c:pt idx="0">
                  <c:v>4049.8477507737707</c:v>
                </c:pt>
                <c:pt idx="1">
                  <c:v>4049.8477507737707</c:v>
                </c:pt>
                <c:pt idx="2">
                  <c:v>4049.8477507737707</c:v>
                </c:pt>
                <c:pt idx="3">
                  <c:v>4049.8477507737707</c:v>
                </c:pt>
                <c:pt idx="4">
                  <c:v>4049.8477507737707</c:v>
                </c:pt>
                <c:pt idx="5">
                  <c:v>4049.8477507737707</c:v>
                </c:pt>
              </c:numCache>
            </c:numRef>
          </c:val>
        </c:ser>
        <c:ser>
          <c:idx val="2"/>
          <c:order val="2"/>
          <c:tx>
            <c:strRef>
              <c:f>Dashboard_P_MS!$CS$13</c:f>
              <c:strCache>
                <c:ptCount val="1"/>
                <c:pt idx="0">
                  <c:v>Interest charged</c:v>
                </c:pt>
              </c:strCache>
            </c:strRef>
          </c:tx>
          <c:invertIfNegative val="0"/>
          <c:cat>
            <c:numRef>
              <c:f>Dashboard_P_MS!$CU$9:$CZ$9</c:f>
              <c:numCache>
                <c:formatCode>d\-mmm\-yy</c:formatCode>
                <c:ptCount val="6"/>
                <c:pt idx="0">
                  <c:v>42082</c:v>
                </c:pt>
                <c:pt idx="1">
                  <c:v>42113</c:v>
                </c:pt>
                <c:pt idx="2">
                  <c:v>42143</c:v>
                </c:pt>
                <c:pt idx="3">
                  <c:v>42174</c:v>
                </c:pt>
                <c:pt idx="4">
                  <c:v>42204</c:v>
                </c:pt>
                <c:pt idx="5">
                  <c:v>42235</c:v>
                </c:pt>
              </c:numCache>
            </c:numRef>
          </c:cat>
          <c:val>
            <c:numRef>
              <c:f>Dashboard_P_MS!$CU$13:$CZ$13</c:f>
              <c:numCache>
                <c:formatCode>_("$"#,##0_);\("$"#,##0\);_("-"_);_)@_)</c:formatCode>
                <c:ptCount val="6"/>
                <c:pt idx="0">
                  <c:v>985.50960338771847</c:v>
                </c:pt>
                <c:pt idx="1">
                  <c:v>1112.3266658126752</c:v>
                </c:pt>
                <c:pt idx="2">
                  <c:v>995.90965241021252</c:v>
                </c:pt>
                <c:pt idx="3">
                  <c:v>1051.1055473594006</c:v>
                </c:pt>
                <c:pt idx="4">
                  <c:v>1037.8617872719924</c:v>
                </c:pt>
                <c:pt idx="5">
                  <c:v>991.50922929150443</c:v>
                </c:pt>
              </c:numCache>
            </c:numRef>
          </c:val>
        </c:ser>
        <c:ser>
          <c:idx val="3"/>
          <c:order val="3"/>
          <c:tx>
            <c:strRef>
              <c:f>Dashboard_P_MS!$CS$14</c:f>
              <c:strCache>
                <c:ptCount val="1"/>
                <c:pt idx="0">
                  <c:v>Principal repayment</c:v>
                </c:pt>
              </c:strCache>
            </c:strRef>
          </c:tx>
          <c:invertIfNegative val="0"/>
          <c:cat>
            <c:numRef>
              <c:f>Dashboard_P_MS!$CU$9:$CZ$9</c:f>
              <c:numCache>
                <c:formatCode>d\-mmm\-yy</c:formatCode>
                <c:ptCount val="6"/>
                <c:pt idx="0">
                  <c:v>42082</c:v>
                </c:pt>
                <c:pt idx="1">
                  <c:v>42113</c:v>
                </c:pt>
                <c:pt idx="2">
                  <c:v>42143</c:v>
                </c:pt>
                <c:pt idx="3">
                  <c:v>42174</c:v>
                </c:pt>
                <c:pt idx="4">
                  <c:v>42204</c:v>
                </c:pt>
                <c:pt idx="5">
                  <c:v>42235</c:v>
                </c:pt>
              </c:numCache>
            </c:numRef>
          </c:cat>
          <c:val>
            <c:numRef>
              <c:f>Dashboard_P_MS!$CU$14:$CZ$14</c:f>
              <c:numCache>
                <c:formatCode>_("$"#,##0_);\("$"#,##0\);_("-"_);_)@_)</c:formatCode>
                <c:ptCount val="6"/>
                <c:pt idx="0">
                  <c:v>3064.3381473860522</c:v>
                </c:pt>
                <c:pt idx="1">
                  <c:v>2937.5210849610958</c:v>
                </c:pt>
                <c:pt idx="2">
                  <c:v>3053.9380983635583</c:v>
                </c:pt>
                <c:pt idx="3">
                  <c:v>2998.7422034143701</c:v>
                </c:pt>
                <c:pt idx="4">
                  <c:v>3011.9859635017783</c:v>
                </c:pt>
                <c:pt idx="5">
                  <c:v>3058.3385214822665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8057216"/>
        <c:axId val="155021248"/>
      </c:barChart>
      <c:lineChart>
        <c:grouping val="standard"/>
        <c:varyColors val="0"/>
        <c:ser>
          <c:idx val="0"/>
          <c:order val="0"/>
          <c:tx>
            <c:strRef>
              <c:f>Dashboard_P_MS!$CS$11</c:f>
              <c:strCache>
                <c:ptCount val="1"/>
                <c:pt idx="0">
                  <c:v>Opening loan balance</c:v>
                </c:pt>
              </c:strCache>
            </c:strRef>
          </c:tx>
          <c:marker>
            <c:symbol val="none"/>
          </c:marker>
          <c:cat>
            <c:numRef>
              <c:f>Dashboard_P_MS!$CU$9:$CZ$9</c:f>
              <c:numCache>
                <c:formatCode>d\-mmm\-yy</c:formatCode>
                <c:ptCount val="6"/>
                <c:pt idx="0">
                  <c:v>42082</c:v>
                </c:pt>
                <c:pt idx="1">
                  <c:v>42113</c:v>
                </c:pt>
                <c:pt idx="2">
                  <c:v>42143</c:v>
                </c:pt>
                <c:pt idx="3">
                  <c:v>42174</c:v>
                </c:pt>
                <c:pt idx="4">
                  <c:v>42204</c:v>
                </c:pt>
                <c:pt idx="5">
                  <c:v>42235</c:v>
                </c:pt>
              </c:numCache>
            </c:numRef>
          </c:cat>
          <c:val>
            <c:numRef>
              <c:f>Dashboard_P_MS!$CU$11:$CZ$11</c:f>
              <c:numCache>
                <c:formatCode>_("$"#,##0_);\("$"#,##0\);_("-"_);_)@_)</c:formatCode>
                <c:ptCount val="6"/>
                <c:pt idx="0">
                  <c:v>247054.26183826732</c:v>
                </c:pt>
                <c:pt idx="1">
                  <c:v>243989.92369088126</c:v>
                </c:pt>
                <c:pt idx="2">
                  <c:v>241052.40260592016</c:v>
                </c:pt>
                <c:pt idx="3">
                  <c:v>237998.46450755661</c:v>
                </c:pt>
                <c:pt idx="4">
                  <c:v>234999.72230414223</c:v>
                </c:pt>
                <c:pt idx="5">
                  <c:v>231987.73634064046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058240"/>
        <c:axId val="155021824"/>
      </c:lineChart>
      <c:dateAx>
        <c:axId val="698057216"/>
        <c:scaling>
          <c:orientation val="minMax"/>
        </c:scaling>
        <c:delete val="0"/>
        <c:axPos val="b"/>
        <c:numFmt formatCode="mmm\-yy;@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155021248"/>
        <c:crosses val="autoZero"/>
        <c:auto val="1"/>
        <c:lblOffset val="100"/>
        <c:baseTimeUnit val="months"/>
      </c:dateAx>
      <c:valAx>
        <c:axId val="155021248"/>
        <c:scaling>
          <c:orientation val="minMax"/>
        </c:scaling>
        <c:delete val="0"/>
        <c:axPos val="l"/>
        <c:majorGridlines/>
        <c:numFmt formatCode="_(&quot;$&quot;#,##0_);\(&quot;$&quot;#,##0\);_(&quot;-&quot;_);_)@_)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698057216"/>
        <c:crosses val="autoZero"/>
        <c:crossBetween val="between"/>
      </c:valAx>
      <c:valAx>
        <c:axId val="155021824"/>
        <c:scaling>
          <c:orientation val="minMax"/>
        </c:scaling>
        <c:delete val="0"/>
        <c:axPos val="r"/>
        <c:numFmt formatCode="_(&quot;$&quot;#,##0_);\(&quot;$&quot;#,##0\);_(&quot;-&quot;_);_)@_)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698058240"/>
        <c:crosses val="max"/>
        <c:crossBetween val="between"/>
      </c:valAx>
      <c:dateAx>
        <c:axId val="698058240"/>
        <c:scaling>
          <c:orientation val="minMax"/>
        </c:scaling>
        <c:delete val="1"/>
        <c:axPos val="b"/>
        <c:numFmt formatCode="d\-mmm\-yy" sourceLinked="1"/>
        <c:majorTickMark val="out"/>
        <c:minorTickMark val="none"/>
        <c:tickLblPos val="nextTo"/>
        <c:crossAx val="155021824"/>
        <c:crosses val="autoZero"/>
        <c:auto val="1"/>
        <c:lblOffset val="100"/>
        <c:baseTimeUnit val="months"/>
      </c:dateAx>
    </c:plotArea>
    <c:legend>
      <c:legendPos val="r"/>
      <c:layout>
        <c:manualLayout>
          <c:xMode val="edge"/>
          <c:yMode val="edge"/>
          <c:x val="1.3816081231861812E-2"/>
          <c:y val="0.93215091863517063"/>
          <c:w val="0.97374238820693848"/>
          <c:h val="5.1805774278215228E-2"/>
        </c:manualLayout>
      </c:layout>
      <c:overlay val="0"/>
      <c:txPr>
        <a:bodyPr/>
        <a:lstStyle/>
        <a:p>
          <a:pPr>
            <a:defRPr sz="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488962119995898"/>
          <c:y val="6.7677673719766379E-2"/>
          <c:w val="0.61564238304409535"/>
          <c:h val="0.72298082992790458"/>
        </c:manualLayout>
      </c:layout>
      <c:areaChart>
        <c:grouping val="stacked"/>
        <c:varyColors val="0"/>
        <c:ser>
          <c:idx val="0"/>
          <c:order val="0"/>
          <c:tx>
            <c:strRef>
              <c:f>Dashboard_P_MS!$CS$19</c:f>
              <c:strCache>
                <c:ptCount val="1"/>
                <c:pt idx="0">
                  <c:v>Closing loan balance</c:v>
                </c:pt>
              </c:strCache>
            </c:strRef>
          </c:tx>
          <c:cat>
            <c:numRef>
              <c:f>Dashboard_P_MS!$CU$17:$FN$17</c:f>
              <c:numCache>
                <c:formatCode>d\-mmm\-yy</c:formatCode>
                <c:ptCount val="72"/>
                <c:pt idx="0">
                  <c:v>42054</c:v>
                </c:pt>
                <c:pt idx="1">
                  <c:v>42082</c:v>
                </c:pt>
                <c:pt idx="2">
                  <c:v>42113</c:v>
                </c:pt>
                <c:pt idx="3">
                  <c:v>42143</c:v>
                </c:pt>
                <c:pt idx="4">
                  <c:v>42174</c:v>
                </c:pt>
                <c:pt idx="5">
                  <c:v>42204</c:v>
                </c:pt>
                <c:pt idx="6">
                  <c:v>42235</c:v>
                </c:pt>
                <c:pt idx="7">
                  <c:v>42266</c:v>
                </c:pt>
                <c:pt idx="8">
                  <c:v>42296</c:v>
                </c:pt>
                <c:pt idx="9">
                  <c:v>42327</c:v>
                </c:pt>
                <c:pt idx="10">
                  <c:v>42357</c:v>
                </c:pt>
                <c:pt idx="11">
                  <c:v>42388</c:v>
                </c:pt>
                <c:pt idx="12">
                  <c:v>42419</c:v>
                </c:pt>
                <c:pt idx="13">
                  <c:v>42448</c:v>
                </c:pt>
                <c:pt idx="14">
                  <c:v>42479</c:v>
                </c:pt>
                <c:pt idx="15">
                  <c:v>42509</c:v>
                </c:pt>
                <c:pt idx="16">
                  <c:v>42540</c:v>
                </c:pt>
                <c:pt idx="17">
                  <c:v>42570</c:v>
                </c:pt>
                <c:pt idx="18">
                  <c:v>42601</c:v>
                </c:pt>
                <c:pt idx="19">
                  <c:v>42632</c:v>
                </c:pt>
                <c:pt idx="20">
                  <c:v>42662</c:v>
                </c:pt>
                <c:pt idx="21">
                  <c:v>42693</c:v>
                </c:pt>
                <c:pt idx="22">
                  <c:v>42723</c:v>
                </c:pt>
                <c:pt idx="23">
                  <c:v>42754</c:v>
                </c:pt>
                <c:pt idx="24">
                  <c:v>42785</c:v>
                </c:pt>
                <c:pt idx="25">
                  <c:v>42813</c:v>
                </c:pt>
                <c:pt idx="26">
                  <c:v>42844</c:v>
                </c:pt>
                <c:pt idx="27">
                  <c:v>42874</c:v>
                </c:pt>
                <c:pt idx="28">
                  <c:v>42905</c:v>
                </c:pt>
                <c:pt idx="29">
                  <c:v>42935</c:v>
                </c:pt>
                <c:pt idx="30">
                  <c:v>42966</c:v>
                </c:pt>
                <c:pt idx="31">
                  <c:v>42997</c:v>
                </c:pt>
                <c:pt idx="32">
                  <c:v>43027</c:v>
                </c:pt>
                <c:pt idx="33">
                  <c:v>43058</c:v>
                </c:pt>
                <c:pt idx="34">
                  <c:v>43088</c:v>
                </c:pt>
                <c:pt idx="35">
                  <c:v>43119</c:v>
                </c:pt>
                <c:pt idx="36">
                  <c:v>43150</c:v>
                </c:pt>
                <c:pt idx="37">
                  <c:v>43178</c:v>
                </c:pt>
                <c:pt idx="38">
                  <c:v>43209</c:v>
                </c:pt>
                <c:pt idx="39">
                  <c:v>43239</c:v>
                </c:pt>
                <c:pt idx="40">
                  <c:v>43270</c:v>
                </c:pt>
                <c:pt idx="41">
                  <c:v>43300</c:v>
                </c:pt>
                <c:pt idx="42">
                  <c:v>43331</c:v>
                </c:pt>
                <c:pt idx="43">
                  <c:v>43362</c:v>
                </c:pt>
                <c:pt idx="44">
                  <c:v>43392</c:v>
                </c:pt>
                <c:pt idx="45">
                  <c:v>43423</c:v>
                </c:pt>
                <c:pt idx="46">
                  <c:v>43453</c:v>
                </c:pt>
                <c:pt idx="47">
                  <c:v>43484</c:v>
                </c:pt>
                <c:pt idx="48">
                  <c:v>43515</c:v>
                </c:pt>
                <c:pt idx="49">
                  <c:v>43543</c:v>
                </c:pt>
                <c:pt idx="50">
                  <c:v>43574</c:v>
                </c:pt>
                <c:pt idx="51">
                  <c:v>43604</c:v>
                </c:pt>
                <c:pt idx="52">
                  <c:v>43635</c:v>
                </c:pt>
                <c:pt idx="53">
                  <c:v>43665</c:v>
                </c:pt>
                <c:pt idx="54">
                  <c:v>43696</c:v>
                </c:pt>
                <c:pt idx="55">
                  <c:v>43727</c:v>
                </c:pt>
                <c:pt idx="56">
                  <c:v>43757</c:v>
                </c:pt>
                <c:pt idx="57">
                  <c:v>43788</c:v>
                </c:pt>
                <c:pt idx="58">
                  <c:v>43818</c:v>
                </c:pt>
                <c:pt idx="59">
                  <c:v>43849</c:v>
                </c:pt>
                <c:pt idx="60">
                  <c:v>43880</c:v>
                </c:pt>
                <c:pt idx="61">
                  <c:v>43909</c:v>
                </c:pt>
                <c:pt idx="62">
                  <c:v>43940</c:v>
                </c:pt>
                <c:pt idx="63">
                  <c:v>43970</c:v>
                </c:pt>
                <c:pt idx="64">
                  <c:v>44001</c:v>
                </c:pt>
                <c:pt idx="65">
                  <c:v>44031</c:v>
                </c:pt>
                <c:pt idx="66">
                  <c:v>44062</c:v>
                </c:pt>
                <c:pt idx="67">
                  <c:v>44093</c:v>
                </c:pt>
                <c:pt idx="68">
                  <c:v>44123</c:v>
                </c:pt>
                <c:pt idx="69">
                  <c:v>44154</c:v>
                </c:pt>
                <c:pt idx="70">
                  <c:v>44184</c:v>
                </c:pt>
                <c:pt idx="71">
                  <c:v>44215</c:v>
                </c:pt>
              </c:numCache>
            </c:numRef>
          </c:cat>
          <c:val>
            <c:numRef>
              <c:f>Dashboard_P_MS!$CU$19:$FN$19</c:f>
              <c:numCache>
                <c:formatCode>_("$"#,##0.0_);\("$"#,##0.0\);_("-"_);_)@_)</c:formatCode>
                <c:ptCount val="72"/>
                <c:pt idx="0">
                  <c:v>247054.26183826732</c:v>
                </c:pt>
                <c:pt idx="1">
                  <c:v>243989.92369088126</c:v>
                </c:pt>
                <c:pt idx="2">
                  <c:v>241052.40260592016</c:v>
                </c:pt>
                <c:pt idx="3">
                  <c:v>237998.46450755661</c:v>
                </c:pt>
                <c:pt idx="4">
                  <c:v>234999.72230414223</c:v>
                </c:pt>
                <c:pt idx="5">
                  <c:v>231987.73634064046</c:v>
                </c:pt>
                <c:pt idx="6">
                  <c:v>228929.39781915818</c:v>
                </c:pt>
                <c:pt idx="7">
                  <c:v>225955.83184004927</c:v>
                </c:pt>
                <c:pt idx="8">
                  <c:v>222807.33118834157</c:v>
                </c:pt>
                <c:pt idx="9">
                  <c:v>219741.49828106261</c:v>
                </c:pt>
                <c:pt idx="10">
                  <c:v>216693.43094984963</c:v>
                </c:pt>
                <c:pt idx="11">
                  <c:v>213538.85359324675</c:v>
                </c:pt>
                <c:pt idx="12">
                  <c:v>210432.08702601356</c:v>
                </c:pt>
                <c:pt idx="13">
                  <c:v>207311.5996157492</c:v>
                </c:pt>
                <c:pt idx="14">
                  <c:v>204118.26115873037</c:v>
                </c:pt>
                <c:pt idx="15">
                  <c:v>200940.80926386788</c:v>
                </c:pt>
                <c:pt idx="16">
                  <c:v>197807.03139423131</c:v>
                </c:pt>
                <c:pt idx="17">
                  <c:v>194574.42474850549</c:v>
                </c:pt>
                <c:pt idx="18">
                  <c:v>191383.90295031964</c:v>
                </c:pt>
                <c:pt idx="19">
                  <c:v>188179.29040928811</c:v>
                </c:pt>
                <c:pt idx="20">
                  <c:v>184933.71579012665</c:v>
                </c:pt>
                <c:pt idx="21">
                  <c:v>181753.30983742373</c:v>
                </c:pt>
                <c:pt idx="22">
                  <c:v>178428.48350890554</c:v>
                </c:pt>
                <c:pt idx="23">
                  <c:v>175166.65415653275</c:v>
                </c:pt>
                <c:pt idx="24">
                  <c:v>171915.37438525615</c:v>
                </c:pt>
                <c:pt idx="25">
                  <c:v>168551.30412792054</c:v>
                </c:pt>
                <c:pt idx="26">
                  <c:v>165221.84003314556</c:v>
                </c:pt>
                <c:pt idx="27">
                  <c:v>161878.1459000477</c:v>
                </c:pt>
                <c:pt idx="28">
                  <c:v>158543.22300185167</c:v>
                </c:pt>
                <c:pt idx="29">
                  <c:v>155170.98464253786</c:v>
                </c:pt>
                <c:pt idx="30">
                  <c:v>151850.65308257667</c:v>
                </c:pt>
                <c:pt idx="31">
                  <c:v>148428.17734508653</c:v>
                </c:pt>
                <c:pt idx="32">
                  <c:v>145012.70755776024</c:v>
                </c:pt>
                <c:pt idx="33">
                  <c:v>141623.95883541417</c:v>
                </c:pt>
                <c:pt idx="34">
                  <c:v>138159.23144059602</c:v>
                </c:pt>
                <c:pt idx="35">
                  <c:v>134719.55541881468</c:v>
                </c:pt>
                <c:pt idx="36">
                  <c:v>131264.68827991799</c:v>
                </c:pt>
                <c:pt idx="37">
                  <c:v>127738.46076513205</c:v>
                </c:pt>
                <c:pt idx="38">
                  <c:v>124252.76205203882</c:v>
                </c:pt>
                <c:pt idx="39">
                  <c:v>120769.37072881187</c:v>
                </c:pt>
                <c:pt idx="40">
                  <c:v>117218.48246039166</c:v>
                </c:pt>
                <c:pt idx="41">
                  <c:v>113669.62329218833</c:v>
                </c:pt>
                <c:pt idx="42">
                  <c:v>110137.98445417677</c:v>
                </c:pt>
                <c:pt idx="43">
                  <c:v>106558.86343148112</c:v>
                </c:pt>
                <c:pt idx="44">
                  <c:v>103009.98830988111</c:v>
                </c:pt>
                <c:pt idx="45">
                  <c:v>99371.051635762647</c:v>
                </c:pt>
                <c:pt idx="46">
                  <c:v>95745.913037185557</c:v>
                </c:pt>
                <c:pt idx="47">
                  <c:v>92146.202236471538</c:v>
                </c:pt>
                <c:pt idx="48">
                  <c:v>88477.057151376124</c:v>
                </c:pt>
                <c:pt idx="49">
                  <c:v>84780.148017622632</c:v>
                </c:pt>
                <c:pt idx="50">
                  <c:v>81153.039635046327</c:v>
                </c:pt>
                <c:pt idx="51">
                  <c:v>77415.353165498876</c:v>
                </c:pt>
                <c:pt idx="52">
                  <c:v>73696.376513185867</c:v>
                </c:pt>
                <c:pt idx="53">
                  <c:v>69961.505056550639</c:v>
                </c:pt>
                <c:pt idx="54">
                  <c:v>66220.637980163607</c:v>
                </c:pt>
                <c:pt idx="55">
                  <c:v>62463.249594935107</c:v>
                </c:pt>
                <c:pt idx="56">
                  <c:v>58698.165809437975</c:v>
                </c:pt>
                <c:pt idx="57">
                  <c:v>54890.829932748129</c:v>
                </c:pt>
                <c:pt idx="58">
                  <c:v>51075.584085248571</c:v>
                </c:pt>
                <c:pt idx="59">
                  <c:v>47258.585024660701</c:v>
                </c:pt>
                <c:pt idx="60">
                  <c:v>43410.719171526573</c:v>
                </c:pt>
                <c:pt idx="61">
                  <c:v>39540.223104343655</c:v>
                </c:pt>
                <c:pt idx="62">
                  <c:v>35670.635439174344</c:v>
                </c:pt>
                <c:pt idx="63">
                  <c:v>31768.161163036944</c:v>
                </c:pt>
                <c:pt idx="64">
                  <c:v>27858.615537728423</c:v>
                </c:pt>
                <c:pt idx="65">
                  <c:v>23931.803645165113</c:v>
                </c:pt>
                <c:pt idx="66">
                  <c:v>19984.239767504925</c:v>
                </c:pt>
                <c:pt idx="67">
                  <c:v>16028.345319309341</c:v>
                </c:pt>
                <c:pt idx="68">
                  <c:v>12044.718787005484</c:v>
                </c:pt>
                <c:pt idx="69">
                  <c:v>8046.3498343350793</c:v>
                </c:pt>
                <c:pt idx="70">
                  <c:v>4033.1846208882498</c:v>
                </c:pt>
                <c:pt idx="71">
                  <c:v>2.3101165425032377E-10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497856"/>
        <c:axId val="700933248"/>
      </c:areaChart>
      <c:lineChart>
        <c:grouping val="standard"/>
        <c:varyColors val="0"/>
        <c:ser>
          <c:idx val="1"/>
          <c:order val="1"/>
          <c:tx>
            <c:strRef>
              <c:f>Dashboard_P_MS!$CS$20</c:f>
              <c:strCache>
                <c:ptCount val="1"/>
                <c:pt idx="0">
                  <c:v>Interest charged</c:v>
                </c:pt>
              </c:strCache>
            </c:strRef>
          </c:tx>
          <c:marker>
            <c:symbol val="none"/>
          </c:marker>
          <c:cat>
            <c:numRef>
              <c:f>Dashboard_P_MS!$CU$17:$FN$17</c:f>
              <c:numCache>
                <c:formatCode>d\-mmm\-yy</c:formatCode>
                <c:ptCount val="72"/>
                <c:pt idx="0">
                  <c:v>42054</c:v>
                </c:pt>
                <c:pt idx="1">
                  <c:v>42082</c:v>
                </c:pt>
                <c:pt idx="2">
                  <c:v>42113</c:v>
                </c:pt>
                <c:pt idx="3">
                  <c:v>42143</c:v>
                </c:pt>
                <c:pt idx="4">
                  <c:v>42174</c:v>
                </c:pt>
                <c:pt idx="5">
                  <c:v>42204</c:v>
                </c:pt>
                <c:pt idx="6">
                  <c:v>42235</c:v>
                </c:pt>
                <c:pt idx="7">
                  <c:v>42266</c:v>
                </c:pt>
                <c:pt idx="8">
                  <c:v>42296</c:v>
                </c:pt>
                <c:pt idx="9">
                  <c:v>42327</c:v>
                </c:pt>
                <c:pt idx="10">
                  <c:v>42357</c:v>
                </c:pt>
                <c:pt idx="11">
                  <c:v>42388</c:v>
                </c:pt>
                <c:pt idx="12">
                  <c:v>42419</c:v>
                </c:pt>
                <c:pt idx="13">
                  <c:v>42448</c:v>
                </c:pt>
                <c:pt idx="14">
                  <c:v>42479</c:v>
                </c:pt>
                <c:pt idx="15">
                  <c:v>42509</c:v>
                </c:pt>
                <c:pt idx="16">
                  <c:v>42540</c:v>
                </c:pt>
                <c:pt idx="17">
                  <c:v>42570</c:v>
                </c:pt>
                <c:pt idx="18">
                  <c:v>42601</c:v>
                </c:pt>
                <c:pt idx="19">
                  <c:v>42632</c:v>
                </c:pt>
                <c:pt idx="20">
                  <c:v>42662</c:v>
                </c:pt>
                <c:pt idx="21">
                  <c:v>42693</c:v>
                </c:pt>
                <c:pt idx="22">
                  <c:v>42723</c:v>
                </c:pt>
                <c:pt idx="23">
                  <c:v>42754</c:v>
                </c:pt>
                <c:pt idx="24">
                  <c:v>42785</c:v>
                </c:pt>
                <c:pt idx="25">
                  <c:v>42813</c:v>
                </c:pt>
                <c:pt idx="26">
                  <c:v>42844</c:v>
                </c:pt>
                <c:pt idx="27">
                  <c:v>42874</c:v>
                </c:pt>
                <c:pt idx="28">
                  <c:v>42905</c:v>
                </c:pt>
                <c:pt idx="29">
                  <c:v>42935</c:v>
                </c:pt>
                <c:pt idx="30">
                  <c:v>42966</c:v>
                </c:pt>
                <c:pt idx="31">
                  <c:v>42997</c:v>
                </c:pt>
                <c:pt idx="32">
                  <c:v>43027</c:v>
                </c:pt>
                <c:pt idx="33">
                  <c:v>43058</c:v>
                </c:pt>
                <c:pt idx="34">
                  <c:v>43088</c:v>
                </c:pt>
                <c:pt idx="35">
                  <c:v>43119</c:v>
                </c:pt>
                <c:pt idx="36">
                  <c:v>43150</c:v>
                </c:pt>
                <c:pt idx="37">
                  <c:v>43178</c:v>
                </c:pt>
                <c:pt idx="38">
                  <c:v>43209</c:v>
                </c:pt>
                <c:pt idx="39">
                  <c:v>43239</c:v>
                </c:pt>
                <c:pt idx="40">
                  <c:v>43270</c:v>
                </c:pt>
                <c:pt idx="41">
                  <c:v>43300</c:v>
                </c:pt>
                <c:pt idx="42">
                  <c:v>43331</c:v>
                </c:pt>
                <c:pt idx="43">
                  <c:v>43362</c:v>
                </c:pt>
                <c:pt idx="44">
                  <c:v>43392</c:v>
                </c:pt>
                <c:pt idx="45">
                  <c:v>43423</c:v>
                </c:pt>
                <c:pt idx="46">
                  <c:v>43453</c:v>
                </c:pt>
                <c:pt idx="47">
                  <c:v>43484</c:v>
                </c:pt>
                <c:pt idx="48">
                  <c:v>43515</c:v>
                </c:pt>
                <c:pt idx="49">
                  <c:v>43543</c:v>
                </c:pt>
                <c:pt idx="50">
                  <c:v>43574</c:v>
                </c:pt>
                <c:pt idx="51">
                  <c:v>43604</c:v>
                </c:pt>
                <c:pt idx="52">
                  <c:v>43635</c:v>
                </c:pt>
                <c:pt idx="53">
                  <c:v>43665</c:v>
                </c:pt>
                <c:pt idx="54">
                  <c:v>43696</c:v>
                </c:pt>
                <c:pt idx="55">
                  <c:v>43727</c:v>
                </c:pt>
                <c:pt idx="56">
                  <c:v>43757</c:v>
                </c:pt>
                <c:pt idx="57">
                  <c:v>43788</c:v>
                </c:pt>
                <c:pt idx="58">
                  <c:v>43818</c:v>
                </c:pt>
                <c:pt idx="59">
                  <c:v>43849</c:v>
                </c:pt>
                <c:pt idx="60">
                  <c:v>43880</c:v>
                </c:pt>
                <c:pt idx="61">
                  <c:v>43909</c:v>
                </c:pt>
                <c:pt idx="62">
                  <c:v>43940</c:v>
                </c:pt>
                <c:pt idx="63">
                  <c:v>43970</c:v>
                </c:pt>
                <c:pt idx="64">
                  <c:v>44001</c:v>
                </c:pt>
                <c:pt idx="65">
                  <c:v>44031</c:v>
                </c:pt>
                <c:pt idx="66">
                  <c:v>44062</c:v>
                </c:pt>
                <c:pt idx="67">
                  <c:v>44093</c:v>
                </c:pt>
                <c:pt idx="68">
                  <c:v>44123</c:v>
                </c:pt>
                <c:pt idx="69">
                  <c:v>44154</c:v>
                </c:pt>
                <c:pt idx="70">
                  <c:v>44184</c:v>
                </c:pt>
                <c:pt idx="71">
                  <c:v>44215</c:v>
                </c:pt>
              </c:numCache>
            </c:numRef>
          </c:cat>
          <c:val>
            <c:numRef>
              <c:f>Dashboard_P_MS!$CU$20:$FN$20</c:f>
              <c:numCache>
                <c:formatCode>_("$"#,##0.0_);\("$"#,##0.0\);_("-"_);_)@_)</c:formatCode>
                <c:ptCount val="72"/>
                <c:pt idx="0">
                  <c:v>1104.1095890410959</c:v>
                </c:pt>
                <c:pt idx="1">
                  <c:v>985.50960338771847</c:v>
                </c:pt>
                <c:pt idx="2">
                  <c:v>1112.3266658126752</c:v>
                </c:pt>
                <c:pt idx="3">
                  <c:v>995.90965241021252</c:v>
                </c:pt>
                <c:pt idx="4">
                  <c:v>1051.1055473594006</c:v>
                </c:pt>
                <c:pt idx="5">
                  <c:v>1037.8617872719924</c:v>
                </c:pt>
                <c:pt idx="6">
                  <c:v>991.50922929150443</c:v>
                </c:pt>
                <c:pt idx="7">
                  <c:v>1076.2817716648642</c:v>
                </c:pt>
                <c:pt idx="8">
                  <c:v>901.34709906605951</c:v>
                </c:pt>
                <c:pt idx="9">
                  <c:v>984.01484349481268</c:v>
                </c:pt>
                <c:pt idx="10">
                  <c:v>1001.7804195607895</c:v>
                </c:pt>
                <c:pt idx="11">
                  <c:v>895.27039417088565</c:v>
                </c:pt>
                <c:pt idx="12">
                  <c:v>943.08118354058558</c:v>
                </c:pt>
                <c:pt idx="13">
                  <c:v>929.36034050940771</c:v>
                </c:pt>
                <c:pt idx="14">
                  <c:v>856.50929375493081</c:v>
                </c:pt>
                <c:pt idx="15">
                  <c:v>872.39585591128593</c:v>
                </c:pt>
                <c:pt idx="16">
                  <c:v>916.0698811371949</c:v>
                </c:pt>
                <c:pt idx="17">
                  <c:v>817.24110504794737</c:v>
                </c:pt>
                <c:pt idx="18">
                  <c:v>859.32595258792003</c:v>
                </c:pt>
                <c:pt idx="19">
                  <c:v>845.23520974223356</c:v>
                </c:pt>
                <c:pt idx="20">
                  <c:v>804.27313161229984</c:v>
                </c:pt>
                <c:pt idx="21">
                  <c:v>869.44179807084197</c:v>
                </c:pt>
                <c:pt idx="22">
                  <c:v>725.021422255586</c:v>
                </c:pt>
                <c:pt idx="23">
                  <c:v>788.01839840097455</c:v>
                </c:pt>
                <c:pt idx="24">
                  <c:v>798.56797949717941</c:v>
                </c:pt>
                <c:pt idx="25">
                  <c:v>685.77749343817243</c:v>
                </c:pt>
                <c:pt idx="26">
                  <c:v>720.38365599878375</c:v>
                </c:pt>
                <c:pt idx="27">
                  <c:v>706.1536176759098</c:v>
                </c:pt>
                <c:pt idx="28">
                  <c:v>714.9248525777449</c:v>
                </c:pt>
                <c:pt idx="29">
                  <c:v>677.60939145996861</c:v>
                </c:pt>
                <c:pt idx="30">
                  <c:v>729.51619081258889</c:v>
                </c:pt>
                <c:pt idx="31">
                  <c:v>627.37201328363176</c:v>
                </c:pt>
                <c:pt idx="32">
                  <c:v>634.37796344749302</c:v>
                </c:pt>
                <c:pt idx="33">
                  <c:v>661.09902842770691</c:v>
                </c:pt>
                <c:pt idx="34">
                  <c:v>585.12035595562895</c:v>
                </c:pt>
                <c:pt idx="35">
                  <c:v>610.17172899244042</c:v>
                </c:pt>
                <c:pt idx="36">
                  <c:v>594.98061187706639</c:v>
                </c:pt>
                <c:pt idx="37">
                  <c:v>523.62023598783719</c:v>
                </c:pt>
                <c:pt idx="38">
                  <c:v>564.14903768052841</c:v>
                </c:pt>
                <c:pt idx="39">
                  <c:v>566.45642754682899</c:v>
                </c:pt>
                <c:pt idx="40">
                  <c:v>498.95948235355701</c:v>
                </c:pt>
                <c:pt idx="41">
                  <c:v>500.988582570441</c:v>
                </c:pt>
                <c:pt idx="42">
                  <c:v>518.2089127621955</c:v>
                </c:pt>
                <c:pt idx="43">
                  <c:v>470.72672807812535</c:v>
                </c:pt>
                <c:pt idx="44">
                  <c:v>500.97262917375781</c:v>
                </c:pt>
                <c:pt idx="45">
                  <c:v>410.91107665530654</c:v>
                </c:pt>
                <c:pt idx="46">
                  <c:v>424.7091521966841</c:v>
                </c:pt>
                <c:pt idx="47">
                  <c:v>450.13695005975455</c:v>
                </c:pt>
                <c:pt idx="48">
                  <c:v>380.70266567835358</c:v>
                </c:pt>
                <c:pt idx="49">
                  <c:v>352.93861702028391</c:v>
                </c:pt>
                <c:pt idx="50">
                  <c:v>422.73936819746081</c:v>
                </c:pt>
                <c:pt idx="51">
                  <c:v>312.16128122631517</c:v>
                </c:pt>
                <c:pt idx="52">
                  <c:v>330.87109846076231</c:v>
                </c:pt>
                <c:pt idx="53">
                  <c:v>314.97629413854776</c:v>
                </c:pt>
                <c:pt idx="54">
                  <c:v>308.98067438673871</c:v>
                </c:pt>
                <c:pt idx="55">
                  <c:v>292.45936554527049</c:v>
                </c:pt>
                <c:pt idx="56">
                  <c:v>284.76396527663564</c:v>
                </c:pt>
                <c:pt idx="57">
                  <c:v>242.51187408392454</c:v>
                </c:pt>
                <c:pt idx="58">
                  <c:v>234.60190327421117</c:v>
                </c:pt>
                <c:pt idx="59">
                  <c:v>232.84869018590032</c:v>
                </c:pt>
                <c:pt idx="60">
                  <c:v>201.98189763964572</c:v>
                </c:pt>
                <c:pt idx="61">
                  <c:v>179.35168359085498</c:v>
                </c:pt>
                <c:pt idx="62">
                  <c:v>180.26008560445985</c:v>
                </c:pt>
                <c:pt idx="63">
                  <c:v>147.37347463636962</c:v>
                </c:pt>
                <c:pt idx="64">
                  <c:v>140.30212546524808</c:v>
                </c:pt>
                <c:pt idx="65">
                  <c:v>123.03585821046087</c:v>
                </c:pt>
                <c:pt idx="66">
                  <c:v>102.2838731135824</c:v>
                </c:pt>
                <c:pt idx="67">
                  <c:v>93.953302578187532</c:v>
                </c:pt>
                <c:pt idx="68">
                  <c:v>66.221218469913666</c:v>
                </c:pt>
                <c:pt idx="69">
                  <c:v>51.478798103365897</c:v>
                </c:pt>
                <c:pt idx="70">
                  <c:v>36.682537326941294</c:v>
                </c:pt>
                <c:pt idx="71">
                  <c:v>16.663129885752003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499392"/>
        <c:axId val="700933824"/>
      </c:lineChart>
      <c:dateAx>
        <c:axId val="701497856"/>
        <c:scaling>
          <c:orientation val="minMax"/>
        </c:scaling>
        <c:delete val="0"/>
        <c:axPos val="b"/>
        <c:numFmt formatCode="mmm\-yy;@" sourceLinked="0"/>
        <c:majorTickMark val="out"/>
        <c:minorTickMark val="none"/>
        <c:tickLblPos val="nextTo"/>
        <c:txPr>
          <a:bodyPr rot="0" vert="horz" anchor="ctr" anchorCtr="1"/>
          <a:lstStyle/>
          <a:p>
            <a:pPr>
              <a:defRPr sz="8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700933248"/>
        <c:crosses val="autoZero"/>
        <c:auto val="1"/>
        <c:lblOffset val="100"/>
        <c:baseTimeUnit val="months"/>
      </c:dateAx>
      <c:valAx>
        <c:axId val="700933248"/>
        <c:scaling>
          <c:orientation val="minMax"/>
        </c:scaling>
        <c:delete val="0"/>
        <c:axPos val="l"/>
        <c:majorGridlines/>
        <c:numFmt formatCode="_(&quot;$&quot;#,##0.0_);\(&quot;$&quot;#,##0.0\);_(&quot;-&quot;_);_)@_)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701497856"/>
        <c:crosses val="autoZero"/>
        <c:crossBetween val="between"/>
      </c:valAx>
      <c:valAx>
        <c:axId val="700933824"/>
        <c:scaling>
          <c:orientation val="minMax"/>
        </c:scaling>
        <c:delete val="0"/>
        <c:axPos val="r"/>
        <c:numFmt formatCode="&quot;$&quot;#,##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701499392"/>
        <c:crosses val="max"/>
        <c:crossBetween val="between"/>
      </c:valAx>
      <c:dateAx>
        <c:axId val="701499392"/>
        <c:scaling>
          <c:orientation val="minMax"/>
        </c:scaling>
        <c:delete val="1"/>
        <c:axPos val="b"/>
        <c:numFmt formatCode="d\-mmm\-yy" sourceLinked="1"/>
        <c:majorTickMark val="out"/>
        <c:minorTickMark val="none"/>
        <c:tickLblPos val="nextTo"/>
        <c:crossAx val="700933824"/>
        <c:crosses val="autoZero"/>
        <c:auto val="1"/>
        <c:lblOffset val="100"/>
        <c:baseTimeUnit val="months"/>
      </c:dateAx>
    </c:plotArea>
    <c:legend>
      <c:legendPos val="r"/>
      <c:layout>
        <c:manualLayout>
          <c:xMode val="edge"/>
          <c:yMode val="edge"/>
          <c:x val="0.14523530530180909"/>
          <c:y val="0.89588811441611405"/>
          <c:w val="0.73326074643614791"/>
          <c:h val="9.2773754787107837E-2"/>
        </c:manualLayout>
      </c:layout>
      <c:overlay val="0"/>
      <c:txPr>
        <a:bodyPr/>
        <a:lstStyle/>
        <a:p>
          <a:pPr>
            <a:defRPr sz="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488962119995898"/>
          <c:y val="6.7677673719766379E-2"/>
          <c:w val="0.61564238304409535"/>
          <c:h val="0.72928780763391121"/>
        </c:manualLayout>
      </c:layout>
      <c:areaChart>
        <c:grouping val="stacked"/>
        <c:varyColors val="0"/>
        <c:ser>
          <c:idx val="0"/>
          <c:order val="0"/>
          <c:tx>
            <c:strRef>
              <c:f>Dashboard_P_MS!$CS$23</c:f>
              <c:strCache>
                <c:ptCount val="1"/>
                <c:pt idx="0">
                  <c:v>Percentage of principal oustanding</c:v>
                </c:pt>
              </c:strCache>
            </c:strRef>
          </c:tx>
          <c:cat>
            <c:numRef>
              <c:f>Dashboard_P_MS!$CU$17:$FN$17</c:f>
              <c:numCache>
                <c:formatCode>d\-mmm\-yy</c:formatCode>
                <c:ptCount val="72"/>
                <c:pt idx="0">
                  <c:v>42054</c:v>
                </c:pt>
                <c:pt idx="1">
                  <c:v>42082</c:v>
                </c:pt>
                <c:pt idx="2">
                  <c:v>42113</c:v>
                </c:pt>
                <c:pt idx="3">
                  <c:v>42143</c:v>
                </c:pt>
                <c:pt idx="4">
                  <c:v>42174</c:v>
                </c:pt>
                <c:pt idx="5">
                  <c:v>42204</c:v>
                </c:pt>
                <c:pt idx="6">
                  <c:v>42235</c:v>
                </c:pt>
                <c:pt idx="7">
                  <c:v>42266</c:v>
                </c:pt>
                <c:pt idx="8">
                  <c:v>42296</c:v>
                </c:pt>
                <c:pt idx="9">
                  <c:v>42327</c:v>
                </c:pt>
                <c:pt idx="10">
                  <c:v>42357</c:v>
                </c:pt>
                <c:pt idx="11">
                  <c:v>42388</c:v>
                </c:pt>
                <c:pt idx="12">
                  <c:v>42419</c:v>
                </c:pt>
                <c:pt idx="13">
                  <c:v>42448</c:v>
                </c:pt>
                <c:pt idx="14">
                  <c:v>42479</c:v>
                </c:pt>
                <c:pt idx="15">
                  <c:v>42509</c:v>
                </c:pt>
                <c:pt idx="16">
                  <c:v>42540</c:v>
                </c:pt>
                <c:pt idx="17">
                  <c:v>42570</c:v>
                </c:pt>
                <c:pt idx="18">
                  <c:v>42601</c:v>
                </c:pt>
                <c:pt idx="19">
                  <c:v>42632</c:v>
                </c:pt>
                <c:pt idx="20">
                  <c:v>42662</c:v>
                </c:pt>
                <c:pt idx="21">
                  <c:v>42693</c:v>
                </c:pt>
                <c:pt idx="22">
                  <c:v>42723</c:v>
                </c:pt>
                <c:pt idx="23">
                  <c:v>42754</c:v>
                </c:pt>
                <c:pt idx="24">
                  <c:v>42785</c:v>
                </c:pt>
                <c:pt idx="25">
                  <c:v>42813</c:v>
                </c:pt>
                <c:pt idx="26">
                  <c:v>42844</c:v>
                </c:pt>
                <c:pt idx="27">
                  <c:v>42874</c:v>
                </c:pt>
                <c:pt idx="28">
                  <c:v>42905</c:v>
                </c:pt>
                <c:pt idx="29">
                  <c:v>42935</c:v>
                </c:pt>
                <c:pt idx="30">
                  <c:v>42966</c:v>
                </c:pt>
                <c:pt idx="31">
                  <c:v>42997</c:v>
                </c:pt>
                <c:pt idx="32">
                  <c:v>43027</c:v>
                </c:pt>
                <c:pt idx="33">
                  <c:v>43058</c:v>
                </c:pt>
                <c:pt idx="34">
                  <c:v>43088</c:v>
                </c:pt>
                <c:pt idx="35">
                  <c:v>43119</c:v>
                </c:pt>
                <c:pt idx="36">
                  <c:v>43150</c:v>
                </c:pt>
                <c:pt idx="37">
                  <c:v>43178</c:v>
                </c:pt>
                <c:pt idx="38">
                  <c:v>43209</c:v>
                </c:pt>
                <c:pt idx="39">
                  <c:v>43239</c:v>
                </c:pt>
                <c:pt idx="40">
                  <c:v>43270</c:v>
                </c:pt>
                <c:pt idx="41">
                  <c:v>43300</c:v>
                </c:pt>
                <c:pt idx="42">
                  <c:v>43331</c:v>
                </c:pt>
                <c:pt idx="43">
                  <c:v>43362</c:v>
                </c:pt>
                <c:pt idx="44">
                  <c:v>43392</c:v>
                </c:pt>
                <c:pt idx="45">
                  <c:v>43423</c:v>
                </c:pt>
                <c:pt idx="46">
                  <c:v>43453</c:v>
                </c:pt>
                <c:pt idx="47">
                  <c:v>43484</c:v>
                </c:pt>
                <c:pt idx="48">
                  <c:v>43515</c:v>
                </c:pt>
                <c:pt idx="49">
                  <c:v>43543</c:v>
                </c:pt>
                <c:pt idx="50">
                  <c:v>43574</c:v>
                </c:pt>
                <c:pt idx="51">
                  <c:v>43604</c:v>
                </c:pt>
                <c:pt idx="52">
                  <c:v>43635</c:v>
                </c:pt>
                <c:pt idx="53">
                  <c:v>43665</c:v>
                </c:pt>
                <c:pt idx="54">
                  <c:v>43696</c:v>
                </c:pt>
                <c:pt idx="55">
                  <c:v>43727</c:v>
                </c:pt>
                <c:pt idx="56">
                  <c:v>43757</c:v>
                </c:pt>
                <c:pt idx="57">
                  <c:v>43788</c:v>
                </c:pt>
                <c:pt idx="58">
                  <c:v>43818</c:v>
                </c:pt>
                <c:pt idx="59">
                  <c:v>43849</c:v>
                </c:pt>
                <c:pt idx="60">
                  <c:v>43880</c:v>
                </c:pt>
                <c:pt idx="61">
                  <c:v>43909</c:v>
                </c:pt>
                <c:pt idx="62">
                  <c:v>43940</c:v>
                </c:pt>
                <c:pt idx="63">
                  <c:v>43970</c:v>
                </c:pt>
                <c:pt idx="64">
                  <c:v>44001</c:v>
                </c:pt>
                <c:pt idx="65">
                  <c:v>44031</c:v>
                </c:pt>
                <c:pt idx="66">
                  <c:v>44062</c:v>
                </c:pt>
                <c:pt idx="67">
                  <c:v>44093</c:v>
                </c:pt>
                <c:pt idx="68">
                  <c:v>44123</c:v>
                </c:pt>
                <c:pt idx="69">
                  <c:v>44154</c:v>
                </c:pt>
                <c:pt idx="70">
                  <c:v>44184</c:v>
                </c:pt>
                <c:pt idx="71">
                  <c:v>44215</c:v>
                </c:pt>
              </c:numCache>
            </c:numRef>
          </c:cat>
          <c:val>
            <c:numRef>
              <c:f>Dashboard_P_MS!$CU$23:$FN$23</c:f>
              <c:numCache>
                <c:formatCode>_(#,##0.0%_);\(#,##0.0%\);_("-"_);_)@_)</c:formatCode>
                <c:ptCount val="72"/>
                <c:pt idx="0">
                  <c:v>0.98821704735306926</c:v>
                </c:pt>
                <c:pt idx="1">
                  <c:v>0.97595969476352507</c:v>
                </c:pt>
                <c:pt idx="2">
                  <c:v>0.96420961042368059</c:v>
                </c:pt>
                <c:pt idx="3">
                  <c:v>0.9519938580302264</c:v>
                </c:pt>
                <c:pt idx="4">
                  <c:v>0.93999888921656893</c:v>
                </c:pt>
                <c:pt idx="5">
                  <c:v>0.92795094536256184</c:v>
                </c:pt>
                <c:pt idx="6">
                  <c:v>0.91571759127663277</c:v>
                </c:pt>
                <c:pt idx="7">
                  <c:v>0.9038233273601971</c:v>
                </c:pt>
                <c:pt idx="8">
                  <c:v>0.89122932475336625</c:v>
                </c:pt>
                <c:pt idx="9">
                  <c:v>0.87896599312425039</c:v>
                </c:pt>
                <c:pt idx="10">
                  <c:v>0.86677372379939854</c:v>
                </c:pt>
                <c:pt idx="11">
                  <c:v>0.85415541437298703</c:v>
                </c:pt>
                <c:pt idx="12">
                  <c:v>0.84172834810405417</c:v>
                </c:pt>
                <c:pt idx="13">
                  <c:v>0.82924639846299686</c:v>
                </c:pt>
                <c:pt idx="14">
                  <c:v>0.81647304463492143</c:v>
                </c:pt>
                <c:pt idx="15">
                  <c:v>0.80376323705547148</c:v>
                </c:pt>
                <c:pt idx="16">
                  <c:v>0.79122812557692523</c:v>
                </c:pt>
                <c:pt idx="17">
                  <c:v>0.77829769899402201</c:v>
                </c:pt>
                <c:pt idx="18">
                  <c:v>0.76553561180127849</c:v>
                </c:pt>
                <c:pt idx="19">
                  <c:v>0.75271716163715241</c:v>
                </c:pt>
                <c:pt idx="20">
                  <c:v>0.73973486316050663</c:v>
                </c:pt>
                <c:pt idx="21">
                  <c:v>0.72701323934969497</c:v>
                </c:pt>
                <c:pt idx="22">
                  <c:v>0.71371393403562211</c:v>
                </c:pt>
                <c:pt idx="23">
                  <c:v>0.70066661662613094</c:v>
                </c:pt>
                <c:pt idx="24">
                  <c:v>0.68766149754102457</c:v>
                </c:pt>
                <c:pt idx="25">
                  <c:v>0.67420521651168219</c:v>
                </c:pt>
                <c:pt idx="26">
                  <c:v>0.6608873601325822</c:v>
                </c:pt>
                <c:pt idx="27">
                  <c:v>0.64751258360019082</c:v>
                </c:pt>
                <c:pt idx="28">
                  <c:v>0.63417289200740667</c:v>
                </c:pt>
                <c:pt idx="29">
                  <c:v>0.62068393857015147</c:v>
                </c:pt>
                <c:pt idx="30">
                  <c:v>0.60740261233030668</c:v>
                </c:pt>
                <c:pt idx="31">
                  <c:v>0.59371270938034615</c:v>
                </c:pt>
                <c:pt idx="32">
                  <c:v>0.58005083023104098</c:v>
                </c:pt>
                <c:pt idx="33">
                  <c:v>0.56649583534165671</c:v>
                </c:pt>
                <c:pt idx="34">
                  <c:v>0.5526369257623841</c:v>
                </c:pt>
                <c:pt idx="35">
                  <c:v>0.53887822167525867</c:v>
                </c:pt>
                <c:pt idx="36">
                  <c:v>0.52505875311967198</c:v>
                </c:pt>
                <c:pt idx="37">
                  <c:v>0.51095384306052827</c:v>
                </c:pt>
                <c:pt idx="38">
                  <c:v>0.49701104820815528</c:v>
                </c:pt>
                <c:pt idx="39">
                  <c:v>0.48307748291524749</c:v>
                </c:pt>
                <c:pt idx="40">
                  <c:v>0.46887392984156667</c:v>
                </c:pt>
                <c:pt idx="41">
                  <c:v>0.45467849316875336</c:v>
                </c:pt>
                <c:pt idx="42">
                  <c:v>0.4405519378167071</c:v>
                </c:pt>
                <c:pt idx="43">
                  <c:v>0.42623545372592447</c:v>
                </c:pt>
                <c:pt idx="44">
                  <c:v>0.41203995323952447</c:v>
                </c:pt>
                <c:pt idx="45">
                  <c:v>0.39748420654305061</c:v>
                </c:pt>
                <c:pt idx="46">
                  <c:v>0.38298365214874225</c:v>
                </c:pt>
                <c:pt idx="47">
                  <c:v>0.36858480894588613</c:v>
                </c:pt>
                <c:pt idx="48">
                  <c:v>0.35390822860550447</c:v>
                </c:pt>
                <c:pt idx="49">
                  <c:v>0.33912059207049056</c:v>
                </c:pt>
                <c:pt idx="50">
                  <c:v>0.32461215854018532</c:v>
                </c:pt>
                <c:pt idx="51">
                  <c:v>0.30966141266199548</c:v>
                </c:pt>
                <c:pt idx="52">
                  <c:v>0.29478550605274345</c:v>
                </c:pt>
                <c:pt idx="53">
                  <c:v>0.27984602022620253</c:v>
                </c:pt>
                <c:pt idx="54">
                  <c:v>0.26488255192065441</c:v>
                </c:pt>
                <c:pt idx="55">
                  <c:v>0.24985299837974043</c:v>
                </c:pt>
                <c:pt idx="56">
                  <c:v>0.23479266323775189</c:v>
                </c:pt>
                <c:pt idx="57">
                  <c:v>0.21956331973099252</c:v>
                </c:pt>
                <c:pt idx="58">
                  <c:v>0.20430233634099429</c:v>
                </c:pt>
                <c:pt idx="59">
                  <c:v>0.18903434009864281</c:v>
                </c:pt>
                <c:pt idx="60">
                  <c:v>0.17364287668610628</c:v>
                </c:pt>
                <c:pt idx="61">
                  <c:v>0.15816089241737463</c:v>
                </c:pt>
                <c:pt idx="62">
                  <c:v>0.14268254175669737</c:v>
                </c:pt>
                <c:pt idx="63">
                  <c:v>0.12707264465214776</c:v>
                </c:pt>
                <c:pt idx="64">
                  <c:v>0.1114344621509137</c:v>
                </c:pt>
                <c:pt idx="65">
                  <c:v>9.5727214580660455E-2</c:v>
                </c:pt>
                <c:pt idx="66">
                  <c:v>7.99369590700197E-2</c:v>
                </c:pt>
                <c:pt idx="67">
                  <c:v>6.4113381277237369E-2</c:v>
                </c:pt>
                <c:pt idx="68">
                  <c:v>4.8178875148021938E-2</c:v>
                </c:pt>
                <c:pt idx="69">
                  <c:v>3.2185399337340319E-2</c:v>
                </c:pt>
                <c:pt idx="70">
                  <c:v>1.6132738483553E-2</c:v>
                </c:pt>
                <c:pt idx="71">
                  <c:v>9.2404661700129507E-16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500928"/>
        <c:axId val="700938432"/>
      </c:areaChart>
      <c:lineChart>
        <c:grouping val="standard"/>
        <c:varyColors val="0"/>
        <c:ser>
          <c:idx val="1"/>
          <c:order val="1"/>
          <c:tx>
            <c:strRef>
              <c:f>Dashboard_P_MS!$CS$24</c:f>
              <c:strCache>
                <c:ptCount val="1"/>
                <c:pt idx="0">
                  <c:v>Cumulative revenue earned</c:v>
                </c:pt>
              </c:strCache>
            </c:strRef>
          </c:tx>
          <c:marker>
            <c:symbol val="none"/>
          </c:marker>
          <c:cat>
            <c:numRef>
              <c:f>Dashboard_P_MS!$CU$17:$FN$17</c:f>
              <c:numCache>
                <c:formatCode>d\-mmm\-yy</c:formatCode>
                <c:ptCount val="72"/>
                <c:pt idx="0">
                  <c:v>42054</c:v>
                </c:pt>
                <c:pt idx="1">
                  <c:v>42082</c:v>
                </c:pt>
                <c:pt idx="2">
                  <c:v>42113</c:v>
                </c:pt>
                <c:pt idx="3">
                  <c:v>42143</c:v>
                </c:pt>
                <c:pt idx="4">
                  <c:v>42174</c:v>
                </c:pt>
                <c:pt idx="5">
                  <c:v>42204</c:v>
                </c:pt>
                <c:pt idx="6">
                  <c:v>42235</c:v>
                </c:pt>
                <c:pt idx="7">
                  <c:v>42266</c:v>
                </c:pt>
                <c:pt idx="8">
                  <c:v>42296</c:v>
                </c:pt>
                <c:pt idx="9">
                  <c:v>42327</c:v>
                </c:pt>
                <c:pt idx="10">
                  <c:v>42357</c:v>
                </c:pt>
                <c:pt idx="11">
                  <c:v>42388</c:v>
                </c:pt>
                <c:pt idx="12">
                  <c:v>42419</c:v>
                </c:pt>
                <c:pt idx="13">
                  <c:v>42448</c:v>
                </c:pt>
                <c:pt idx="14">
                  <c:v>42479</c:v>
                </c:pt>
                <c:pt idx="15">
                  <c:v>42509</c:v>
                </c:pt>
                <c:pt idx="16">
                  <c:v>42540</c:v>
                </c:pt>
                <c:pt idx="17">
                  <c:v>42570</c:v>
                </c:pt>
                <c:pt idx="18">
                  <c:v>42601</c:v>
                </c:pt>
                <c:pt idx="19">
                  <c:v>42632</c:v>
                </c:pt>
                <c:pt idx="20">
                  <c:v>42662</c:v>
                </c:pt>
                <c:pt idx="21">
                  <c:v>42693</c:v>
                </c:pt>
                <c:pt idx="22">
                  <c:v>42723</c:v>
                </c:pt>
                <c:pt idx="23">
                  <c:v>42754</c:v>
                </c:pt>
                <c:pt idx="24">
                  <c:v>42785</c:v>
                </c:pt>
                <c:pt idx="25">
                  <c:v>42813</c:v>
                </c:pt>
                <c:pt idx="26">
                  <c:v>42844</c:v>
                </c:pt>
                <c:pt idx="27">
                  <c:v>42874</c:v>
                </c:pt>
                <c:pt idx="28">
                  <c:v>42905</c:v>
                </c:pt>
                <c:pt idx="29">
                  <c:v>42935</c:v>
                </c:pt>
                <c:pt idx="30">
                  <c:v>42966</c:v>
                </c:pt>
                <c:pt idx="31">
                  <c:v>42997</c:v>
                </c:pt>
                <c:pt idx="32">
                  <c:v>43027</c:v>
                </c:pt>
                <c:pt idx="33">
                  <c:v>43058</c:v>
                </c:pt>
                <c:pt idx="34">
                  <c:v>43088</c:v>
                </c:pt>
                <c:pt idx="35">
                  <c:v>43119</c:v>
                </c:pt>
                <c:pt idx="36">
                  <c:v>43150</c:v>
                </c:pt>
                <c:pt idx="37">
                  <c:v>43178</c:v>
                </c:pt>
                <c:pt idx="38">
                  <c:v>43209</c:v>
                </c:pt>
                <c:pt idx="39">
                  <c:v>43239</c:v>
                </c:pt>
                <c:pt idx="40">
                  <c:v>43270</c:v>
                </c:pt>
                <c:pt idx="41">
                  <c:v>43300</c:v>
                </c:pt>
                <c:pt idx="42">
                  <c:v>43331</c:v>
                </c:pt>
                <c:pt idx="43">
                  <c:v>43362</c:v>
                </c:pt>
                <c:pt idx="44">
                  <c:v>43392</c:v>
                </c:pt>
                <c:pt idx="45">
                  <c:v>43423</c:v>
                </c:pt>
                <c:pt idx="46">
                  <c:v>43453</c:v>
                </c:pt>
                <c:pt idx="47">
                  <c:v>43484</c:v>
                </c:pt>
                <c:pt idx="48">
                  <c:v>43515</c:v>
                </c:pt>
                <c:pt idx="49">
                  <c:v>43543</c:v>
                </c:pt>
                <c:pt idx="50">
                  <c:v>43574</c:v>
                </c:pt>
                <c:pt idx="51">
                  <c:v>43604</c:v>
                </c:pt>
                <c:pt idx="52">
                  <c:v>43635</c:v>
                </c:pt>
                <c:pt idx="53">
                  <c:v>43665</c:v>
                </c:pt>
                <c:pt idx="54">
                  <c:v>43696</c:v>
                </c:pt>
                <c:pt idx="55">
                  <c:v>43727</c:v>
                </c:pt>
                <c:pt idx="56">
                  <c:v>43757</c:v>
                </c:pt>
                <c:pt idx="57">
                  <c:v>43788</c:v>
                </c:pt>
                <c:pt idx="58">
                  <c:v>43818</c:v>
                </c:pt>
                <c:pt idx="59">
                  <c:v>43849</c:v>
                </c:pt>
                <c:pt idx="60">
                  <c:v>43880</c:v>
                </c:pt>
                <c:pt idx="61">
                  <c:v>43909</c:v>
                </c:pt>
                <c:pt idx="62">
                  <c:v>43940</c:v>
                </c:pt>
                <c:pt idx="63">
                  <c:v>43970</c:v>
                </c:pt>
                <c:pt idx="64">
                  <c:v>44001</c:v>
                </c:pt>
                <c:pt idx="65">
                  <c:v>44031</c:v>
                </c:pt>
                <c:pt idx="66">
                  <c:v>44062</c:v>
                </c:pt>
                <c:pt idx="67">
                  <c:v>44093</c:v>
                </c:pt>
                <c:pt idx="68">
                  <c:v>44123</c:v>
                </c:pt>
                <c:pt idx="69">
                  <c:v>44154</c:v>
                </c:pt>
                <c:pt idx="70">
                  <c:v>44184</c:v>
                </c:pt>
                <c:pt idx="71">
                  <c:v>44215</c:v>
                </c:pt>
              </c:numCache>
            </c:numRef>
          </c:cat>
          <c:val>
            <c:numRef>
              <c:f>Dashboard_P_MS!$CU$24:$FN$24</c:f>
              <c:numCache>
                <c:formatCode>_("$"#,##0.0_);\("$"#,##0.0\);_("-"_);_)@_)</c:formatCode>
                <c:ptCount val="72"/>
                <c:pt idx="0">
                  <c:v>1104.1095890410959</c:v>
                </c:pt>
                <c:pt idx="1">
                  <c:v>2089.6191924288141</c:v>
                </c:pt>
                <c:pt idx="2">
                  <c:v>3201.9458582414891</c:v>
                </c:pt>
                <c:pt idx="3">
                  <c:v>4197.8555106517015</c:v>
                </c:pt>
                <c:pt idx="4">
                  <c:v>5248.9610580111021</c:v>
                </c:pt>
                <c:pt idx="5">
                  <c:v>6286.8228452830945</c:v>
                </c:pt>
                <c:pt idx="6">
                  <c:v>7278.3320745745987</c:v>
                </c:pt>
                <c:pt idx="7">
                  <c:v>8354.6138462394629</c:v>
                </c:pt>
                <c:pt idx="8">
                  <c:v>9255.9609453055218</c:v>
                </c:pt>
                <c:pt idx="9">
                  <c:v>10239.975788800335</c:v>
                </c:pt>
                <c:pt idx="10">
                  <c:v>11241.756208361125</c:v>
                </c:pt>
                <c:pt idx="11">
                  <c:v>12137.026602532011</c:v>
                </c:pt>
                <c:pt idx="12">
                  <c:v>13080.107786072596</c:v>
                </c:pt>
                <c:pt idx="13">
                  <c:v>14009.468126582004</c:v>
                </c:pt>
                <c:pt idx="14">
                  <c:v>14865.977420336934</c:v>
                </c:pt>
                <c:pt idx="15">
                  <c:v>15738.37327624822</c:v>
                </c:pt>
                <c:pt idx="16">
                  <c:v>16654.443157385416</c:v>
                </c:pt>
                <c:pt idx="17">
                  <c:v>17471.684262433362</c:v>
                </c:pt>
                <c:pt idx="18">
                  <c:v>18331.010215021281</c:v>
                </c:pt>
                <c:pt idx="19">
                  <c:v>19176.245424763514</c:v>
                </c:pt>
                <c:pt idx="20">
                  <c:v>19980.518556375813</c:v>
                </c:pt>
                <c:pt idx="21">
                  <c:v>20849.960354446655</c:v>
                </c:pt>
                <c:pt idx="22">
                  <c:v>21574.98177670224</c:v>
                </c:pt>
                <c:pt idx="23">
                  <c:v>22363.000175103214</c:v>
                </c:pt>
                <c:pt idx="24">
                  <c:v>23161.568154600394</c:v>
                </c:pt>
                <c:pt idx="25">
                  <c:v>23847.345648038568</c:v>
                </c:pt>
                <c:pt idx="26">
                  <c:v>24567.729304037352</c:v>
                </c:pt>
                <c:pt idx="27">
                  <c:v>25273.882921713262</c:v>
                </c:pt>
                <c:pt idx="28">
                  <c:v>25988.807774291006</c:v>
                </c:pt>
                <c:pt idx="29">
                  <c:v>26666.417165750976</c:v>
                </c:pt>
                <c:pt idx="30">
                  <c:v>27395.933356563564</c:v>
                </c:pt>
                <c:pt idx="31">
                  <c:v>28023.305369847196</c:v>
                </c:pt>
                <c:pt idx="32">
                  <c:v>28657.683333294688</c:v>
                </c:pt>
                <c:pt idx="33">
                  <c:v>29318.782361722395</c:v>
                </c:pt>
                <c:pt idx="34">
                  <c:v>29903.902717678026</c:v>
                </c:pt>
                <c:pt idx="35">
                  <c:v>30514.074446670467</c:v>
                </c:pt>
                <c:pt idx="36">
                  <c:v>31109.055058547532</c:v>
                </c:pt>
                <c:pt idx="37">
                  <c:v>31632.675294535369</c:v>
                </c:pt>
                <c:pt idx="38">
                  <c:v>32196.824332215896</c:v>
                </c:pt>
                <c:pt idx="39">
                  <c:v>32763.280759762725</c:v>
                </c:pt>
                <c:pt idx="40">
                  <c:v>33262.240242116284</c:v>
                </c:pt>
                <c:pt idx="41">
                  <c:v>33763.228824686725</c:v>
                </c:pt>
                <c:pt idx="42">
                  <c:v>34281.43773744892</c:v>
                </c:pt>
                <c:pt idx="43">
                  <c:v>34752.164465527043</c:v>
                </c:pt>
                <c:pt idx="44">
                  <c:v>35253.137094700804</c:v>
                </c:pt>
                <c:pt idx="45">
                  <c:v>35664.048171356109</c:v>
                </c:pt>
                <c:pt idx="46">
                  <c:v>36088.757323552796</c:v>
                </c:pt>
                <c:pt idx="47">
                  <c:v>36538.894273612554</c:v>
                </c:pt>
                <c:pt idx="48">
                  <c:v>36919.59693929091</c:v>
                </c:pt>
                <c:pt idx="49">
                  <c:v>37272.535556311195</c:v>
                </c:pt>
                <c:pt idx="50">
                  <c:v>37695.274924508652</c:v>
                </c:pt>
                <c:pt idx="51">
                  <c:v>38007.436205734964</c:v>
                </c:pt>
                <c:pt idx="52">
                  <c:v>38338.307304195725</c:v>
                </c:pt>
                <c:pt idx="53">
                  <c:v>38653.283598334274</c:v>
                </c:pt>
                <c:pt idx="54">
                  <c:v>38962.264272721011</c:v>
                </c:pt>
                <c:pt idx="55">
                  <c:v>39254.723638266281</c:v>
                </c:pt>
                <c:pt idx="56">
                  <c:v>39539.487603542919</c:v>
                </c:pt>
                <c:pt idx="57">
                  <c:v>39781.999477626843</c:v>
                </c:pt>
                <c:pt idx="58">
                  <c:v>40016.601380901055</c:v>
                </c:pt>
                <c:pt idx="59">
                  <c:v>40249.450071086954</c:v>
                </c:pt>
                <c:pt idx="60">
                  <c:v>40451.431968726603</c:v>
                </c:pt>
                <c:pt idx="61">
                  <c:v>40630.783652317456</c:v>
                </c:pt>
                <c:pt idx="62">
                  <c:v>40811.043737921915</c:v>
                </c:pt>
                <c:pt idx="63">
                  <c:v>40958.417212558285</c:v>
                </c:pt>
                <c:pt idx="64">
                  <c:v>41098.719338023533</c:v>
                </c:pt>
                <c:pt idx="65">
                  <c:v>41221.755196233993</c:v>
                </c:pt>
                <c:pt idx="66">
                  <c:v>41324.039069347578</c:v>
                </c:pt>
                <c:pt idx="67">
                  <c:v>41417.992371925764</c:v>
                </c:pt>
                <c:pt idx="68">
                  <c:v>41484.213590395681</c:v>
                </c:pt>
                <c:pt idx="69">
                  <c:v>41535.692388499047</c:v>
                </c:pt>
                <c:pt idx="70">
                  <c:v>41572.374925825985</c:v>
                </c:pt>
                <c:pt idx="71">
                  <c:v>41589.038055711739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805568"/>
        <c:axId val="700939008"/>
      </c:lineChart>
      <c:dateAx>
        <c:axId val="701500928"/>
        <c:scaling>
          <c:orientation val="minMax"/>
        </c:scaling>
        <c:delete val="0"/>
        <c:axPos val="b"/>
        <c:numFmt formatCode="mmm\-yy;@" sourceLinked="0"/>
        <c:majorTickMark val="out"/>
        <c:minorTickMark val="none"/>
        <c:tickLblPos val="nextTo"/>
        <c:txPr>
          <a:bodyPr rot="0" vert="horz" anchor="ctr" anchorCtr="1"/>
          <a:lstStyle/>
          <a:p>
            <a:pPr>
              <a:defRPr sz="8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700938432"/>
        <c:crosses val="autoZero"/>
        <c:auto val="1"/>
        <c:lblOffset val="100"/>
        <c:baseTimeUnit val="months"/>
      </c:dateAx>
      <c:valAx>
        <c:axId val="700938432"/>
        <c:scaling>
          <c:orientation val="minMax"/>
        </c:scaling>
        <c:delete val="0"/>
        <c:axPos val="l"/>
        <c:majorGridlines/>
        <c:numFmt formatCode="_(#,##0.0%_);\(#,##0.0%\);_(&quot;-&quot;_);_)@_)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701500928"/>
        <c:crosses val="autoZero"/>
        <c:crossBetween val="between"/>
      </c:valAx>
      <c:valAx>
        <c:axId val="700939008"/>
        <c:scaling>
          <c:orientation val="minMax"/>
        </c:scaling>
        <c:delete val="0"/>
        <c:axPos val="r"/>
        <c:numFmt formatCode="&quot;$&quot;#,##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701805568"/>
        <c:crosses val="max"/>
        <c:crossBetween val="between"/>
      </c:valAx>
      <c:dateAx>
        <c:axId val="701805568"/>
        <c:scaling>
          <c:orientation val="minMax"/>
        </c:scaling>
        <c:delete val="1"/>
        <c:axPos val="b"/>
        <c:numFmt formatCode="d\-mmm\-yy" sourceLinked="1"/>
        <c:majorTickMark val="out"/>
        <c:minorTickMark val="none"/>
        <c:tickLblPos val="nextTo"/>
        <c:crossAx val="700939008"/>
        <c:crosses val="autoZero"/>
        <c:auto val="1"/>
        <c:lblOffset val="100"/>
        <c:baseTimeUnit val="months"/>
      </c:dateAx>
    </c:plotArea>
    <c:legend>
      <c:legendPos val="r"/>
      <c:layout>
        <c:manualLayout>
          <c:xMode val="edge"/>
          <c:yMode val="edge"/>
          <c:x val="0.14523530530180909"/>
          <c:y val="0.89588811441611405"/>
          <c:w val="0.73326074643614791"/>
          <c:h val="9.2773754787107837E-2"/>
        </c:manualLayout>
      </c:layout>
      <c:overlay val="0"/>
      <c:txPr>
        <a:bodyPr/>
        <a:lstStyle/>
        <a:p>
          <a:pPr>
            <a:defRPr sz="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488962119995898"/>
          <c:y val="6.7677673719766379E-2"/>
          <c:w val="0.61564238304409535"/>
          <c:h val="0.72928780763391121"/>
        </c:manualLayout>
      </c:layout>
      <c:areaChart>
        <c:grouping val="stacked"/>
        <c:varyColors val="0"/>
        <c:ser>
          <c:idx val="0"/>
          <c:order val="0"/>
          <c:tx>
            <c:strRef>
              <c:f>Dashboard_P_MS!$CS$29</c:f>
              <c:strCache>
                <c:ptCount val="1"/>
                <c:pt idx="0">
                  <c:v>Percentage of principal oustanding</c:v>
                </c:pt>
              </c:strCache>
            </c:strRef>
          </c:tx>
          <c:cat>
            <c:numRef>
              <c:f>Dashboard_P_MS!$CU$17:$FN$17</c:f>
              <c:numCache>
                <c:formatCode>d\-mmm\-yy</c:formatCode>
                <c:ptCount val="72"/>
                <c:pt idx="0">
                  <c:v>42054</c:v>
                </c:pt>
                <c:pt idx="1">
                  <c:v>42082</c:v>
                </c:pt>
                <c:pt idx="2">
                  <c:v>42113</c:v>
                </c:pt>
                <c:pt idx="3">
                  <c:v>42143</c:v>
                </c:pt>
                <c:pt idx="4">
                  <c:v>42174</c:v>
                </c:pt>
                <c:pt idx="5">
                  <c:v>42204</c:v>
                </c:pt>
                <c:pt idx="6">
                  <c:v>42235</c:v>
                </c:pt>
                <c:pt idx="7">
                  <c:v>42266</c:v>
                </c:pt>
                <c:pt idx="8">
                  <c:v>42296</c:v>
                </c:pt>
                <c:pt idx="9">
                  <c:v>42327</c:v>
                </c:pt>
                <c:pt idx="10">
                  <c:v>42357</c:v>
                </c:pt>
                <c:pt idx="11">
                  <c:v>42388</c:v>
                </c:pt>
                <c:pt idx="12">
                  <c:v>42419</c:v>
                </c:pt>
                <c:pt idx="13">
                  <c:v>42448</c:v>
                </c:pt>
                <c:pt idx="14">
                  <c:v>42479</c:v>
                </c:pt>
                <c:pt idx="15">
                  <c:v>42509</c:v>
                </c:pt>
                <c:pt idx="16">
                  <c:v>42540</c:v>
                </c:pt>
                <c:pt idx="17">
                  <c:v>42570</c:v>
                </c:pt>
                <c:pt idx="18">
                  <c:v>42601</c:v>
                </c:pt>
                <c:pt idx="19">
                  <c:v>42632</c:v>
                </c:pt>
                <c:pt idx="20">
                  <c:v>42662</c:v>
                </c:pt>
                <c:pt idx="21">
                  <c:v>42693</c:v>
                </c:pt>
                <c:pt idx="22">
                  <c:v>42723</c:v>
                </c:pt>
                <c:pt idx="23">
                  <c:v>42754</c:v>
                </c:pt>
                <c:pt idx="24">
                  <c:v>42785</c:v>
                </c:pt>
                <c:pt idx="25">
                  <c:v>42813</c:v>
                </c:pt>
                <c:pt idx="26">
                  <c:v>42844</c:v>
                </c:pt>
                <c:pt idx="27">
                  <c:v>42874</c:v>
                </c:pt>
                <c:pt idx="28">
                  <c:v>42905</c:v>
                </c:pt>
                <c:pt idx="29">
                  <c:v>42935</c:v>
                </c:pt>
                <c:pt idx="30">
                  <c:v>42966</c:v>
                </c:pt>
                <c:pt idx="31">
                  <c:v>42997</c:v>
                </c:pt>
                <c:pt idx="32">
                  <c:v>43027</c:v>
                </c:pt>
                <c:pt idx="33">
                  <c:v>43058</c:v>
                </c:pt>
                <c:pt idx="34">
                  <c:v>43088</c:v>
                </c:pt>
                <c:pt idx="35">
                  <c:v>43119</c:v>
                </c:pt>
                <c:pt idx="36">
                  <c:v>43150</c:v>
                </c:pt>
                <c:pt idx="37">
                  <c:v>43178</c:v>
                </c:pt>
                <c:pt idx="38">
                  <c:v>43209</c:v>
                </c:pt>
                <c:pt idx="39">
                  <c:v>43239</c:v>
                </c:pt>
                <c:pt idx="40">
                  <c:v>43270</c:v>
                </c:pt>
                <c:pt idx="41">
                  <c:v>43300</c:v>
                </c:pt>
                <c:pt idx="42">
                  <c:v>43331</c:v>
                </c:pt>
                <c:pt idx="43">
                  <c:v>43362</c:v>
                </c:pt>
                <c:pt idx="44">
                  <c:v>43392</c:v>
                </c:pt>
                <c:pt idx="45">
                  <c:v>43423</c:v>
                </c:pt>
                <c:pt idx="46">
                  <c:v>43453</c:v>
                </c:pt>
                <c:pt idx="47">
                  <c:v>43484</c:v>
                </c:pt>
                <c:pt idx="48">
                  <c:v>43515</c:v>
                </c:pt>
                <c:pt idx="49">
                  <c:v>43543</c:v>
                </c:pt>
                <c:pt idx="50">
                  <c:v>43574</c:v>
                </c:pt>
                <c:pt idx="51">
                  <c:v>43604</c:v>
                </c:pt>
                <c:pt idx="52">
                  <c:v>43635</c:v>
                </c:pt>
                <c:pt idx="53">
                  <c:v>43665</c:v>
                </c:pt>
                <c:pt idx="54">
                  <c:v>43696</c:v>
                </c:pt>
                <c:pt idx="55">
                  <c:v>43727</c:v>
                </c:pt>
                <c:pt idx="56">
                  <c:v>43757</c:v>
                </c:pt>
                <c:pt idx="57">
                  <c:v>43788</c:v>
                </c:pt>
                <c:pt idx="58">
                  <c:v>43818</c:v>
                </c:pt>
                <c:pt idx="59">
                  <c:v>43849</c:v>
                </c:pt>
                <c:pt idx="60">
                  <c:v>43880</c:v>
                </c:pt>
                <c:pt idx="61">
                  <c:v>43909</c:v>
                </c:pt>
                <c:pt idx="62">
                  <c:v>43940</c:v>
                </c:pt>
                <c:pt idx="63">
                  <c:v>43970</c:v>
                </c:pt>
                <c:pt idx="64">
                  <c:v>44001</c:v>
                </c:pt>
                <c:pt idx="65">
                  <c:v>44031</c:v>
                </c:pt>
                <c:pt idx="66">
                  <c:v>44062</c:v>
                </c:pt>
                <c:pt idx="67">
                  <c:v>44093</c:v>
                </c:pt>
                <c:pt idx="68">
                  <c:v>44123</c:v>
                </c:pt>
                <c:pt idx="69">
                  <c:v>44154</c:v>
                </c:pt>
                <c:pt idx="70">
                  <c:v>44184</c:v>
                </c:pt>
                <c:pt idx="71">
                  <c:v>44215</c:v>
                </c:pt>
              </c:numCache>
            </c:numRef>
          </c:cat>
          <c:val>
            <c:numRef>
              <c:f>Dashboard_P_MS!$CU$29:$FN$29</c:f>
              <c:numCache>
                <c:formatCode>_(#,##0.0%_);\(#,##0.0%\);_("-"_);_)@_)</c:formatCode>
                <c:ptCount val="72"/>
                <c:pt idx="0">
                  <c:v>0.98821704735306926</c:v>
                </c:pt>
                <c:pt idx="1">
                  <c:v>0.97595969476352507</c:v>
                </c:pt>
                <c:pt idx="2">
                  <c:v>0.96420961042368059</c:v>
                </c:pt>
                <c:pt idx="3">
                  <c:v>0.9519938580302264</c:v>
                </c:pt>
                <c:pt idx="4">
                  <c:v>0.93999888921656893</c:v>
                </c:pt>
                <c:pt idx="5">
                  <c:v>0.92795094536256184</c:v>
                </c:pt>
                <c:pt idx="6">
                  <c:v>0.91571759127663277</c:v>
                </c:pt>
                <c:pt idx="7">
                  <c:v>0.9038233273601971</c:v>
                </c:pt>
                <c:pt idx="8">
                  <c:v>0.89122932475336625</c:v>
                </c:pt>
                <c:pt idx="9">
                  <c:v>0.87896599312425039</c:v>
                </c:pt>
                <c:pt idx="10">
                  <c:v>0.86677372379939854</c:v>
                </c:pt>
                <c:pt idx="11">
                  <c:v>0.85415541437298703</c:v>
                </c:pt>
                <c:pt idx="12">
                  <c:v>0.84172834810405417</c:v>
                </c:pt>
                <c:pt idx="13">
                  <c:v>0.82924639846299686</c:v>
                </c:pt>
                <c:pt idx="14">
                  <c:v>0.81647304463492143</c:v>
                </c:pt>
                <c:pt idx="15">
                  <c:v>0.80376323705547148</c:v>
                </c:pt>
                <c:pt idx="16">
                  <c:v>0.79122812557692523</c:v>
                </c:pt>
                <c:pt idx="17">
                  <c:v>0.77829769899402201</c:v>
                </c:pt>
                <c:pt idx="18">
                  <c:v>0.76553561180127849</c:v>
                </c:pt>
                <c:pt idx="19">
                  <c:v>0.75271716163715241</c:v>
                </c:pt>
                <c:pt idx="20">
                  <c:v>0.73973486316050663</c:v>
                </c:pt>
                <c:pt idx="21">
                  <c:v>0.72701323934969497</c:v>
                </c:pt>
                <c:pt idx="22">
                  <c:v>0.71371393403562211</c:v>
                </c:pt>
                <c:pt idx="23">
                  <c:v>0.70066661662613094</c:v>
                </c:pt>
                <c:pt idx="24">
                  <c:v>0.68766149754102457</c:v>
                </c:pt>
                <c:pt idx="25">
                  <c:v>0.67420521651168219</c:v>
                </c:pt>
                <c:pt idx="26">
                  <c:v>0.6608873601325822</c:v>
                </c:pt>
                <c:pt idx="27">
                  <c:v>0.64751258360019082</c:v>
                </c:pt>
                <c:pt idx="28">
                  <c:v>0.63417289200740667</c:v>
                </c:pt>
                <c:pt idx="29">
                  <c:v>0.62068393857015147</c:v>
                </c:pt>
                <c:pt idx="30">
                  <c:v>0.60740261233030668</c:v>
                </c:pt>
                <c:pt idx="31">
                  <c:v>0.59371270938034615</c:v>
                </c:pt>
                <c:pt idx="32">
                  <c:v>0.58005083023104098</c:v>
                </c:pt>
                <c:pt idx="33">
                  <c:v>0.56649583534165671</c:v>
                </c:pt>
                <c:pt idx="34">
                  <c:v>0.5526369257623841</c:v>
                </c:pt>
                <c:pt idx="35">
                  <c:v>0.53887822167525867</c:v>
                </c:pt>
                <c:pt idx="36">
                  <c:v>0.52505875311967198</c:v>
                </c:pt>
                <c:pt idx="37">
                  <c:v>0.51095384306052827</c:v>
                </c:pt>
                <c:pt idx="38">
                  <c:v>0.49701104820815528</c:v>
                </c:pt>
                <c:pt idx="39">
                  <c:v>0.48307748291524749</c:v>
                </c:pt>
                <c:pt idx="40">
                  <c:v>0.46887392984156667</c:v>
                </c:pt>
                <c:pt idx="41">
                  <c:v>0.45467849316875336</c:v>
                </c:pt>
                <c:pt idx="42">
                  <c:v>0.4405519378167071</c:v>
                </c:pt>
                <c:pt idx="43">
                  <c:v>0.42623545372592447</c:v>
                </c:pt>
                <c:pt idx="44">
                  <c:v>0.41203995323952447</c:v>
                </c:pt>
                <c:pt idx="45">
                  <c:v>0.39748420654305061</c:v>
                </c:pt>
                <c:pt idx="46">
                  <c:v>0.38298365214874225</c:v>
                </c:pt>
                <c:pt idx="47">
                  <c:v>0.36858480894588613</c:v>
                </c:pt>
                <c:pt idx="48">
                  <c:v>0.35390822860550447</c:v>
                </c:pt>
                <c:pt idx="49">
                  <c:v>0.33912059207049056</c:v>
                </c:pt>
                <c:pt idx="50">
                  <c:v>0.32461215854018532</c:v>
                </c:pt>
                <c:pt idx="51">
                  <c:v>0.30966141266199548</c:v>
                </c:pt>
                <c:pt idx="52">
                  <c:v>0.29478550605274345</c:v>
                </c:pt>
                <c:pt idx="53">
                  <c:v>0.27984602022620253</c:v>
                </c:pt>
                <c:pt idx="54">
                  <c:v>0.26488255192065441</c:v>
                </c:pt>
                <c:pt idx="55">
                  <c:v>0.24985299837974043</c:v>
                </c:pt>
                <c:pt idx="56">
                  <c:v>0.23479266323775189</c:v>
                </c:pt>
                <c:pt idx="57">
                  <c:v>0.21956331973099252</c:v>
                </c:pt>
                <c:pt idx="58">
                  <c:v>0.20430233634099429</c:v>
                </c:pt>
                <c:pt idx="59">
                  <c:v>0.18903434009864281</c:v>
                </c:pt>
                <c:pt idx="60">
                  <c:v>0.17364287668610628</c:v>
                </c:pt>
                <c:pt idx="61">
                  <c:v>0.15816089241737463</c:v>
                </c:pt>
                <c:pt idx="62">
                  <c:v>0.14268254175669737</c:v>
                </c:pt>
                <c:pt idx="63">
                  <c:v>0.12707264465214776</c:v>
                </c:pt>
                <c:pt idx="64">
                  <c:v>0.1114344621509137</c:v>
                </c:pt>
                <c:pt idx="65">
                  <c:v>9.5727214580660455E-2</c:v>
                </c:pt>
                <c:pt idx="66">
                  <c:v>7.99369590700197E-2</c:v>
                </c:pt>
                <c:pt idx="67">
                  <c:v>6.4113381277237369E-2</c:v>
                </c:pt>
                <c:pt idx="68">
                  <c:v>4.8178875148021938E-2</c:v>
                </c:pt>
                <c:pt idx="69">
                  <c:v>3.2185399337340319E-2</c:v>
                </c:pt>
                <c:pt idx="70">
                  <c:v>1.6132738483553E-2</c:v>
                </c:pt>
                <c:pt idx="71">
                  <c:v>9.2404661700129507E-16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804544"/>
        <c:axId val="771886464"/>
      </c:areaChart>
      <c:lineChart>
        <c:grouping val="standard"/>
        <c:varyColors val="0"/>
        <c:ser>
          <c:idx val="1"/>
          <c:order val="1"/>
          <c:tx>
            <c:strRef>
              <c:f>Dashboard_P_MS!$CS$30</c:f>
              <c:strCache>
                <c:ptCount val="1"/>
                <c:pt idx="0">
                  <c:v>Percentage of total revenue earned</c:v>
                </c:pt>
              </c:strCache>
            </c:strRef>
          </c:tx>
          <c:marker>
            <c:symbol val="none"/>
          </c:marker>
          <c:cat>
            <c:numRef>
              <c:f>Dashboard_P_MS!$CU$17:$FN$17</c:f>
              <c:numCache>
                <c:formatCode>d\-mmm\-yy</c:formatCode>
                <c:ptCount val="72"/>
                <c:pt idx="0">
                  <c:v>42054</c:v>
                </c:pt>
                <c:pt idx="1">
                  <c:v>42082</c:v>
                </c:pt>
                <c:pt idx="2">
                  <c:v>42113</c:v>
                </c:pt>
                <c:pt idx="3">
                  <c:v>42143</c:v>
                </c:pt>
                <c:pt idx="4">
                  <c:v>42174</c:v>
                </c:pt>
                <c:pt idx="5">
                  <c:v>42204</c:v>
                </c:pt>
                <c:pt idx="6">
                  <c:v>42235</c:v>
                </c:pt>
                <c:pt idx="7">
                  <c:v>42266</c:v>
                </c:pt>
                <c:pt idx="8">
                  <c:v>42296</c:v>
                </c:pt>
                <c:pt idx="9">
                  <c:v>42327</c:v>
                </c:pt>
                <c:pt idx="10">
                  <c:v>42357</c:v>
                </c:pt>
                <c:pt idx="11">
                  <c:v>42388</c:v>
                </c:pt>
                <c:pt idx="12">
                  <c:v>42419</c:v>
                </c:pt>
                <c:pt idx="13">
                  <c:v>42448</c:v>
                </c:pt>
                <c:pt idx="14">
                  <c:v>42479</c:v>
                </c:pt>
                <c:pt idx="15">
                  <c:v>42509</c:v>
                </c:pt>
                <c:pt idx="16">
                  <c:v>42540</c:v>
                </c:pt>
                <c:pt idx="17">
                  <c:v>42570</c:v>
                </c:pt>
                <c:pt idx="18">
                  <c:v>42601</c:v>
                </c:pt>
                <c:pt idx="19">
                  <c:v>42632</c:v>
                </c:pt>
                <c:pt idx="20">
                  <c:v>42662</c:v>
                </c:pt>
                <c:pt idx="21">
                  <c:v>42693</c:v>
                </c:pt>
                <c:pt idx="22">
                  <c:v>42723</c:v>
                </c:pt>
                <c:pt idx="23">
                  <c:v>42754</c:v>
                </c:pt>
                <c:pt idx="24">
                  <c:v>42785</c:v>
                </c:pt>
                <c:pt idx="25">
                  <c:v>42813</c:v>
                </c:pt>
                <c:pt idx="26">
                  <c:v>42844</c:v>
                </c:pt>
                <c:pt idx="27">
                  <c:v>42874</c:v>
                </c:pt>
                <c:pt idx="28">
                  <c:v>42905</c:v>
                </c:pt>
                <c:pt idx="29">
                  <c:v>42935</c:v>
                </c:pt>
                <c:pt idx="30">
                  <c:v>42966</c:v>
                </c:pt>
                <c:pt idx="31">
                  <c:v>42997</c:v>
                </c:pt>
                <c:pt idx="32">
                  <c:v>43027</c:v>
                </c:pt>
                <c:pt idx="33">
                  <c:v>43058</c:v>
                </c:pt>
                <c:pt idx="34">
                  <c:v>43088</c:v>
                </c:pt>
                <c:pt idx="35">
                  <c:v>43119</c:v>
                </c:pt>
                <c:pt idx="36">
                  <c:v>43150</c:v>
                </c:pt>
                <c:pt idx="37">
                  <c:v>43178</c:v>
                </c:pt>
                <c:pt idx="38">
                  <c:v>43209</c:v>
                </c:pt>
                <c:pt idx="39">
                  <c:v>43239</c:v>
                </c:pt>
                <c:pt idx="40">
                  <c:v>43270</c:v>
                </c:pt>
                <c:pt idx="41">
                  <c:v>43300</c:v>
                </c:pt>
                <c:pt idx="42">
                  <c:v>43331</c:v>
                </c:pt>
                <c:pt idx="43">
                  <c:v>43362</c:v>
                </c:pt>
                <c:pt idx="44">
                  <c:v>43392</c:v>
                </c:pt>
                <c:pt idx="45">
                  <c:v>43423</c:v>
                </c:pt>
                <c:pt idx="46">
                  <c:v>43453</c:v>
                </c:pt>
                <c:pt idx="47">
                  <c:v>43484</c:v>
                </c:pt>
                <c:pt idx="48">
                  <c:v>43515</c:v>
                </c:pt>
                <c:pt idx="49">
                  <c:v>43543</c:v>
                </c:pt>
                <c:pt idx="50">
                  <c:v>43574</c:v>
                </c:pt>
                <c:pt idx="51">
                  <c:v>43604</c:v>
                </c:pt>
                <c:pt idx="52">
                  <c:v>43635</c:v>
                </c:pt>
                <c:pt idx="53">
                  <c:v>43665</c:v>
                </c:pt>
                <c:pt idx="54">
                  <c:v>43696</c:v>
                </c:pt>
                <c:pt idx="55">
                  <c:v>43727</c:v>
                </c:pt>
                <c:pt idx="56">
                  <c:v>43757</c:v>
                </c:pt>
                <c:pt idx="57">
                  <c:v>43788</c:v>
                </c:pt>
                <c:pt idx="58">
                  <c:v>43818</c:v>
                </c:pt>
                <c:pt idx="59">
                  <c:v>43849</c:v>
                </c:pt>
                <c:pt idx="60">
                  <c:v>43880</c:v>
                </c:pt>
                <c:pt idx="61">
                  <c:v>43909</c:v>
                </c:pt>
                <c:pt idx="62">
                  <c:v>43940</c:v>
                </c:pt>
                <c:pt idx="63">
                  <c:v>43970</c:v>
                </c:pt>
                <c:pt idx="64">
                  <c:v>44001</c:v>
                </c:pt>
                <c:pt idx="65">
                  <c:v>44031</c:v>
                </c:pt>
                <c:pt idx="66">
                  <c:v>44062</c:v>
                </c:pt>
                <c:pt idx="67">
                  <c:v>44093</c:v>
                </c:pt>
                <c:pt idx="68">
                  <c:v>44123</c:v>
                </c:pt>
                <c:pt idx="69">
                  <c:v>44154</c:v>
                </c:pt>
                <c:pt idx="70">
                  <c:v>44184</c:v>
                </c:pt>
                <c:pt idx="71">
                  <c:v>44215</c:v>
                </c:pt>
              </c:numCache>
            </c:numRef>
          </c:cat>
          <c:val>
            <c:numRef>
              <c:f>Dashboard_P_MS!$CU$30:$FN$30</c:f>
              <c:numCache>
                <c:formatCode>_(#,##0.0%_);\(#,##0.0%\);_("-"_);_)@_)</c:formatCode>
                <c:ptCount val="72"/>
                <c:pt idx="0">
                  <c:v>2.6548091532245962E-2</c:v>
                </c:pt>
                <c:pt idx="1">
                  <c:v>5.0244470421018331E-2</c:v>
                </c:pt>
                <c:pt idx="2">
                  <c:v>7.6990139900620799E-2</c:v>
                </c:pt>
                <c:pt idx="3">
                  <c:v>0.10093658586256188</c:v>
                </c:pt>
                <c:pt idx="4">
                  <c:v>0.12621020594368429</c:v>
                </c:pt>
                <c:pt idx="5">
                  <c:v>0.15116538249481529</c:v>
                </c:pt>
                <c:pt idx="6">
                  <c:v>0.17500602117376962</c:v>
                </c:pt>
                <c:pt idx="7">
                  <c:v>0.20088499847117913</c:v>
                </c:pt>
                <c:pt idx="8">
                  <c:v>0.22255770698294211</c:v>
                </c:pt>
                <c:pt idx="9">
                  <c:v>0.24621814467271627</c:v>
                </c:pt>
                <c:pt idx="10">
                  <c:v>0.27030575204220691</c:v>
                </c:pt>
                <c:pt idx="11">
                  <c:v>0.29183234741504538</c:v>
                </c:pt>
                <c:pt idx="12">
                  <c:v>0.31450854353858287</c:v>
                </c:pt>
                <c:pt idx="13">
                  <c:v>0.33685482476933548</c:v>
                </c:pt>
                <c:pt idx="14">
                  <c:v>0.35744941733018221</c:v>
                </c:pt>
                <c:pt idx="15">
                  <c:v>0.37842599906171065</c:v>
                </c:pt>
                <c:pt idx="16">
                  <c:v>0.40045271388762343</c:v>
                </c:pt>
                <c:pt idx="17">
                  <c:v>0.42010311080118484</c:v>
                </c:pt>
                <c:pt idx="18">
                  <c:v>0.44076542935341451</c:v>
                </c:pt>
                <c:pt idx="19">
                  <c:v>0.46108893884670876</c:v>
                </c:pt>
                <c:pt idx="20">
                  <c:v>0.48042752346448503</c:v>
                </c:pt>
                <c:pt idx="21">
                  <c:v>0.50133307547331385</c:v>
                </c:pt>
                <c:pt idx="22">
                  <c:v>0.51876606878478126</c:v>
                </c:pt>
                <c:pt idx="23">
                  <c:v>0.53771381163339826</c:v>
                </c:pt>
                <c:pt idx="24">
                  <c:v>0.55691521702362246</c:v>
                </c:pt>
                <c:pt idx="25">
                  <c:v>0.57340459801193766</c:v>
                </c:pt>
                <c:pt idx="26">
                  <c:v>0.59072607717271497</c:v>
                </c:pt>
                <c:pt idx="27">
                  <c:v>0.60770539794300937</c:v>
                </c:pt>
                <c:pt idx="28">
                  <c:v>0.6248956212807083</c:v>
                </c:pt>
                <c:pt idx="29">
                  <c:v>0.64118860191065841</c:v>
                </c:pt>
                <c:pt idx="30">
                  <c:v>0.65872967102207536</c:v>
                </c:pt>
                <c:pt idx="31">
                  <c:v>0.67381470406475397</c:v>
                </c:pt>
                <c:pt idx="32">
                  <c:v>0.68906819376070927</c:v>
                </c:pt>
                <c:pt idx="33">
                  <c:v>0.70496418605421007</c:v>
                </c:pt>
                <c:pt idx="34">
                  <c:v>0.71903328655063936</c:v>
                </c:pt>
                <c:pt idx="35">
                  <c:v>0.73370474223987825</c:v>
                </c:pt>
                <c:pt idx="36">
                  <c:v>0.74801093059364687</c:v>
                </c:pt>
                <c:pt idx="37">
                  <c:v>0.7606012731566657</c:v>
                </c:pt>
                <c:pt idx="38">
                  <c:v>0.77416612255098938</c:v>
                </c:pt>
                <c:pt idx="39">
                  <c:v>0.78778645266749792</c:v>
                </c:pt>
                <c:pt idx="40">
                  <c:v>0.79978383240215689</c:v>
                </c:pt>
                <c:pt idx="41">
                  <c:v>0.81183000144072248</c:v>
                </c:pt>
                <c:pt idx="42">
                  <c:v>0.82429022983234856</c:v>
                </c:pt>
                <c:pt idx="43">
                  <c:v>0.8356087587064126</c:v>
                </c:pt>
                <c:pt idx="44">
                  <c:v>0.84765454414878494</c:v>
                </c:pt>
                <c:pt idx="45">
                  <c:v>0.85753481779456775</c:v>
                </c:pt>
                <c:pt idx="46">
                  <c:v>0.86774686337320694</c:v>
                </c:pt>
                <c:pt idx="47">
                  <c:v>0.87857031520339268</c:v>
                </c:pt>
                <c:pt idx="48">
                  <c:v>0.88772423372318088</c:v>
                </c:pt>
                <c:pt idx="49">
                  <c:v>0.89621057131405024</c:v>
                </c:pt>
                <c:pt idx="50">
                  <c:v>0.90637525383522721</c:v>
                </c:pt>
                <c:pt idx="51">
                  <c:v>0.91388110864264427</c:v>
                </c:pt>
                <c:pt idx="52">
                  <c:v>0.92183683721750409</c:v>
                </c:pt>
                <c:pt idx="53">
                  <c:v>0.92941037844047281</c:v>
                </c:pt>
                <c:pt idx="54">
                  <c:v>0.93683975620037274</c:v>
                </c:pt>
                <c:pt idx="55">
                  <c:v>0.94387188243405717</c:v>
                </c:pt>
                <c:pt idx="56">
                  <c:v>0.95071897432628072</c:v>
                </c:pt>
                <c:pt idx="57">
                  <c:v>0.95655012324006561</c:v>
                </c:pt>
                <c:pt idx="58">
                  <c:v>0.962191078507171</c:v>
                </c:pt>
                <c:pt idx="59">
                  <c:v>0.96778987812052053</c:v>
                </c:pt>
                <c:pt idx="60">
                  <c:v>0.97264649195633657</c:v>
                </c:pt>
                <c:pt idx="61">
                  <c:v>0.97695896687702588</c:v>
                </c:pt>
                <c:pt idx="62">
                  <c:v>0.98129328414021888</c:v>
                </c:pt>
                <c:pt idx="63">
                  <c:v>0.98483684950085437</c:v>
                </c:pt>
                <c:pt idx="64">
                  <c:v>0.98821038570232411</c:v>
                </c:pt>
                <c:pt idx="65">
                  <c:v>0.99116875800335313</c:v>
                </c:pt>
                <c:pt idx="66">
                  <c:v>0.99362815302414131</c:v>
                </c:pt>
                <c:pt idx="67">
                  <c:v>0.99588724116299965</c:v>
                </c:pt>
                <c:pt idx="68">
                  <c:v>0.99747951695406767</c:v>
                </c:pt>
                <c:pt idx="69">
                  <c:v>0.9987173142321486</c:v>
                </c:pt>
                <c:pt idx="70">
                  <c:v>0.99959933841548743</c:v>
                </c:pt>
                <c:pt idx="7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807616"/>
        <c:axId val="771887040"/>
      </c:lineChart>
      <c:dateAx>
        <c:axId val="701804544"/>
        <c:scaling>
          <c:orientation val="minMax"/>
        </c:scaling>
        <c:delete val="0"/>
        <c:axPos val="b"/>
        <c:numFmt formatCode="mmm\-yy;@" sourceLinked="0"/>
        <c:majorTickMark val="out"/>
        <c:minorTickMark val="none"/>
        <c:tickLblPos val="nextTo"/>
        <c:txPr>
          <a:bodyPr rot="0" vert="horz" anchor="ctr" anchorCtr="1"/>
          <a:lstStyle/>
          <a:p>
            <a:pPr>
              <a:defRPr sz="8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771886464"/>
        <c:crosses val="autoZero"/>
        <c:auto val="1"/>
        <c:lblOffset val="100"/>
        <c:baseTimeUnit val="months"/>
      </c:dateAx>
      <c:valAx>
        <c:axId val="771886464"/>
        <c:scaling>
          <c:orientation val="minMax"/>
        </c:scaling>
        <c:delete val="0"/>
        <c:axPos val="l"/>
        <c:majorGridlines/>
        <c:numFmt formatCode="_(#,##0.0%_);\(#,##0.0%\);_(&quot;-&quot;_);_)@_)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701804544"/>
        <c:crosses val="autoZero"/>
        <c:crossBetween val="between"/>
      </c:valAx>
      <c:valAx>
        <c:axId val="771887040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701807616"/>
        <c:crosses val="max"/>
        <c:crossBetween val="between"/>
      </c:valAx>
      <c:dateAx>
        <c:axId val="701807616"/>
        <c:scaling>
          <c:orientation val="minMax"/>
        </c:scaling>
        <c:delete val="1"/>
        <c:axPos val="b"/>
        <c:numFmt formatCode="d\-mmm\-yy" sourceLinked="1"/>
        <c:majorTickMark val="out"/>
        <c:minorTickMark val="none"/>
        <c:tickLblPos val="nextTo"/>
        <c:crossAx val="771887040"/>
        <c:crosses val="autoZero"/>
        <c:auto val="1"/>
        <c:lblOffset val="100"/>
        <c:baseTimeUnit val="months"/>
      </c:dateAx>
    </c:plotArea>
    <c:legend>
      <c:legendPos val="r"/>
      <c:layout>
        <c:manualLayout>
          <c:xMode val="edge"/>
          <c:yMode val="edge"/>
          <c:x val="0.14523530530180909"/>
          <c:y val="0.89588811441611405"/>
          <c:w val="0.73326074643614791"/>
          <c:h val="9.2773754787107837E-2"/>
        </c:manualLayout>
      </c:layout>
      <c:overlay val="0"/>
      <c:txPr>
        <a:bodyPr/>
        <a:lstStyle/>
        <a:p>
          <a:pPr>
            <a:defRPr sz="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Drop" dropLines="2" dropStyle="combo" dx="13" fmlaLink="DD_selection" fmlaRange="LU_loan_selection" noThreeD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3" fmlaLink="DD_Loan_Profile" fmlaRange="month_selection" noThreeD="1" sel="2" val="0"/>
</file>

<file path=xl/ctrlProps/ctrlProp4.xml><?xml version="1.0" encoding="utf-8"?>
<formControlPr xmlns="http://schemas.microsoft.com/office/spreadsheetml/2009/9/main" objectType="CheckBox" checked="Checked" fmlaLink="CB_Err_Chks_Show_Msg" lockText="1" noThreeD="1"/>
</file>

<file path=xl/ctrlProps/ctrlProp5.xml><?xml version="1.0" encoding="utf-8"?>
<formControlPr xmlns="http://schemas.microsoft.com/office/spreadsheetml/2009/9/main" objectType="CheckBox" checked="Checked" fmlaLink="CB_Alt_Chks_Show_Msg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7</xdr:row>
      <xdr:rowOff>57150</xdr:rowOff>
    </xdr:from>
    <xdr:to>
      <xdr:col>2</xdr:col>
      <xdr:colOff>0</xdr:colOff>
      <xdr:row>15</xdr:row>
      <xdr:rowOff>31749</xdr:rowOff>
    </xdr:to>
    <xdr:sp macro="" textlink="">
      <xdr:nvSpPr>
        <xdr:cNvPr id="2" name="Right Arrow 1"/>
        <xdr:cNvSpPr/>
      </xdr:nvSpPr>
      <xdr:spPr>
        <a:xfrm>
          <a:off x="19050" y="946150"/>
          <a:ext cx="1327150" cy="11493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800" b="0"/>
            <a:t>1. Start here</a:t>
          </a:r>
          <a:r>
            <a:rPr lang="en-AU" sz="800" b="0" baseline="0"/>
            <a:t> and use hyperlinks to </a:t>
          </a:r>
          <a:r>
            <a:rPr lang="en-AU" sz="800" b="0"/>
            <a:t> Navigate</a:t>
          </a:r>
          <a:r>
            <a:rPr lang="en-AU" sz="800" b="0" baseline="0"/>
            <a:t> Model.</a:t>
          </a:r>
          <a:r>
            <a:rPr lang="en-AU" sz="800" b="0"/>
            <a:t> </a:t>
          </a:r>
        </a:p>
      </xdr:txBody>
    </xdr:sp>
    <xdr:clientData/>
  </xdr:twoCellAnchor>
  <xdr:twoCellAnchor>
    <xdr:from>
      <xdr:col>17</xdr:col>
      <xdr:colOff>337628</xdr:colOff>
      <xdr:row>11</xdr:row>
      <xdr:rowOff>45760</xdr:rowOff>
    </xdr:from>
    <xdr:to>
      <xdr:col>18</xdr:col>
      <xdr:colOff>318578</xdr:colOff>
      <xdr:row>18</xdr:row>
      <xdr:rowOff>114178</xdr:rowOff>
    </xdr:to>
    <xdr:sp macro="" textlink="">
      <xdr:nvSpPr>
        <xdr:cNvPr id="3" name="Curved Up Arrow 2"/>
        <xdr:cNvSpPr/>
      </xdr:nvSpPr>
      <xdr:spPr>
        <a:xfrm rot="16005783">
          <a:off x="9833182" y="1837331"/>
          <a:ext cx="1001868" cy="6572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171450</xdr:colOff>
      <xdr:row>0</xdr:row>
      <xdr:rowOff>103062</xdr:rowOff>
    </xdr:from>
    <xdr:to>
      <xdr:col>7</xdr:col>
      <xdr:colOff>368300</xdr:colOff>
      <xdr:row>6</xdr:row>
      <xdr:rowOff>92479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03062"/>
          <a:ext cx="3079750" cy="7514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222250</xdr:colOff>
      <xdr:row>7</xdr:row>
      <xdr:rowOff>19050</xdr:rowOff>
    </xdr:from>
    <xdr:to>
      <xdr:col>12</xdr:col>
      <xdr:colOff>19050</xdr:colOff>
      <xdr:row>9</xdr:row>
      <xdr:rowOff>15875</xdr:rowOff>
    </xdr:to>
    <xdr:sp macro="" textlink="">
      <xdr:nvSpPr>
        <xdr:cNvPr id="3" name="Left Arrow 2"/>
        <xdr:cNvSpPr/>
      </xdr:nvSpPr>
      <xdr:spPr>
        <a:xfrm>
          <a:off x="1574800" y="1098550"/>
          <a:ext cx="1816100" cy="365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800"/>
            <a:t>2. Click Key Assumptions  in 1a.</a:t>
          </a:r>
        </a:p>
      </xdr:txBody>
    </xdr:sp>
    <xdr:clientData/>
  </xdr:twoCellAnchor>
  <xdr:twoCellAnchor>
    <xdr:from>
      <xdr:col>11</xdr:col>
      <xdr:colOff>161924</xdr:colOff>
      <xdr:row>8</xdr:row>
      <xdr:rowOff>57150</xdr:rowOff>
    </xdr:from>
    <xdr:to>
      <xdr:col>15</xdr:col>
      <xdr:colOff>508000</xdr:colOff>
      <xdr:row>10</xdr:row>
      <xdr:rowOff>228600</xdr:rowOff>
    </xdr:to>
    <xdr:sp macro="" textlink="">
      <xdr:nvSpPr>
        <xdr:cNvPr id="5" name="Left Arrow 4"/>
        <xdr:cNvSpPr/>
      </xdr:nvSpPr>
      <xdr:spPr>
        <a:xfrm>
          <a:off x="2860674" y="1377950"/>
          <a:ext cx="3038476" cy="4254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800"/>
            <a:t>5. Click Time Series Assumptions &amp; Calculations in 1b.</a:t>
          </a:r>
        </a:p>
      </xdr:txBody>
    </xdr:sp>
    <xdr:clientData/>
  </xdr:twoCellAnchor>
  <xdr:twoCellAnchor>
    <xdr:from>
      <xdr:col>9</xdr:col>
      <xdr:colOff>304800</xdr:colOff>
      <xdr:row>10</xdr:row>
      <xdr:rowOff>133350</xdr:rowOff>
    </xdr:from>
    <xdr:to>
      <xdr:col>11</xdr:col>
      <xdr:colOff>581026</xdr:colOff>
      <xdr:row>13</xdr:row>
      <xdr:rowOff>12700</xdr:rowOff>
    </xdr:to>
    <xdr:sp macro="" textlink="">
      <xdr:nvSpPr>
        <xdr:cNvPr id="6" name="Left Arrow 5"/>
        <xdr:cNvSpPr/>
      </xdr:nvSpPr>
      <xdr:spPr>
        <a:xfrm>
          <a:off x="1657350" y="1708150"/>
          <a:ext cx="1622426" cy="3746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800"/>
            <a:t>8. Click Model Outputs in 2a.</a:t>
          </a:r>
        </a:p>
      </xdr:txBody>
    </xdr:sp>
    <xdr:clientData/>
  </xdr:twoCellAnchor>
  <xdr:twoCellAnchor>
    <xdr:from>
      <xdr:col>9</xdr:col>
      <xdr:colOff>76200</xdr:colOff>
      <xdr:row>1</xdr:row>
      <xdr:rowOff>171450</xdr:rowOff>
    </xdr:from>
    <xdr:to>
      <xdr:col>13</xdr:col>
      <xdr:colOff>38100</xdr:colOff>
      <xdr:row>5</xdr:row>
      <xdr:rowOff>1</xdr:rowOff>
    </xdr:to>
    <xdr:sp macro="" textlink="">
      <xdr:nvSpPr>
        <xdr:cNvPr id="7" name="Left Arrow 6"/>
        <xdr:cNvSpPr/>
      </xdr:nvSpPr>
      <xdr:spPr>
        <a:xfrm>
          <a:off x="1438275" y="400050"/>
          <a:ext cx="2667000" cy="41910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800"/>
            <a:t>15. Click</a:t>
          </a:r>
          <a:r>
            <a:rPr lang="en-AU" sz="800" baseline="0"/>
            <a:t> </a:t>
          </a:r>
          <a:r>
            <a:rPr lang="en-AU" sz="800"/>
            <a:t>back to Cover Sheet where</a:t>
          </a:r>
          <a:r>
            <a:rPr lang="en-AU" sz="800" baseline="0"/>
            <a:t> you started</a:t>
          </a:r>
          <a:r>
            <a:rPr lang="en-AU" sz="800"/>
            <a:t>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209550</xdr:colOff>
          <xdr:row>12</xdr:row>
          <xdr:rowOff>69850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469900</xdr:colOff>
          <xdr:row>11</xdr:row>
          <xdr:rowOff>0</xdr:rowOff>
        </xdr:from>
        <xdr:to>
          <xdr:col>15</xdr:col>
          <xdr:colOff>260350</xdr:colOff>
          <xdr:row>12</xdr:row>
          <xdr:rowOff>12700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</a:rPr>
                <a:t>Goal Seek Payment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276225</xdr:colOff>
      <xdr:row>1</xdr:row>
      <xdr:rowOff>152400</xdr:rowOff>
    </xdr:from>
    <xdr:to>
      <xdr:col>8</xdr:col>
      <xdr:colOff>241300</xdr:colOff>
      <xdr:row>5</xdr:row>
      <xdr:rowOff>12700</xdr:rowOff>
    </xdr:to>
    <xdr:sp macro="" textlink="">
      <xdr:nvSpPr>
        <xdr:cNvPr id="4" name="Left Arrow 3"/>
        <xdr:cNvSpPr/>
      </xdr:nvSpPr>
      <xdr:spPr>
        <a:xfrm>
          <a:off x="1711325" y="374650"/>
          <a:ext cx="1984375" cy="463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800"/>
            <a:t>4. Go back to Table</a:t>
          </a:r>
          <a:r>
            <a:rPr lang="en-AU" sz="800" baseline="0"/>
            <a:t> of Contents.</a:t>
          </a:r>
          <a:endParaRPr lang="en-AU" sz="800"/>
        </a:p>
      </xdr:txBody>
    </xdr:sp>
    <xdr:clientData/>
  </xdr:twoCellAnchor>
  <xdr:twoCellAnchor>
    <xdr:from>
      <xdr:col>7</xdr:col>
      <xdr:colOff>428623</xdr:colOff>
      <xdr:row>22</xdr:row>
      <xdr:rowOff>28573</xdr:rowOff>
    </xdr:from>
    <xdr:to>
      <xdr:col>10</xdr:col>
      <xdr:colOff>504827</xdr:colOff>
      <xdr:row>33</xdr:row>
      <xdr:rowOff>114299</xdr:rowOff>
    </xdr:to>
    <xdr:grpSp>
      <xdr:nvGrpSpPr>
        <xdr:cNvPr id="6" name="Group 5"/>
        <xdr:cNvGrpSpPr/>
      </xdr:nvGrpSpPr>
      <xdr:grpSpPr>
        <a:xfrm>
          <a:off x="3292473" y="3127373"/>
          <a:ext cx="2095504" cy="1482726"/>
          <a:chOff x="3562348" y="3486148"/>
          <a:chExt cx="2105029" cy="1552576"/>
        </a:xfrm>
      </xdr:grpSpPr>
      <xdr:sp macro="" textlink="">
        <xdr:nvSpPr>
          <xdr:cNvPr id="3" name="Left-Right-Up Arrow 2"/>
          <xdr:cNvSpPr/>
        </xdr:nvSpPr>
        <xdr:spPr>
          <a:xfrm rot="16200000">
            <a:off x="3838575" y="3209921"/>
            <a:ext cx="1552576" cy="2105029"/>
          </a:xfrm>
          <a:prstGeom prst="leftRightUp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800"/>
          </a:p>
        </xdr:txBody>
      </xdr:sp>
      <xdr:sp macro="" textlink="">
        <xdr:nvSpPr>
          <xdr:cNvPr id="5" name="TextBox 4"/>
          <xdr:cNvSpPr txBox="1"/>
        </xdr:nvSpPr>
        <xdr:spPr>
          <a:xfrm>
            <a:off x="3695700" y="4124325"/>
            <a:ext cx="1790700" cy="238125"/>
          </a:xfrm>
          <a:prstGeom prst="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AU" sz="800">
                <a:solidFill>
                  <a:schemeClr val="bg1"/>
                </a:solidFill>
              </a:rPr>
              <a:t>3.a. Note question assumptions.</a:t>
            </a:r>
          </a:p>
        </xdr:txBody>
      </xdr:sp>
    </xdr:grpSp>
    <xdr:clientData/>
  </xdr:twoCellAnchor>
  <xdr:twoCellAnchor>
    <xdr:from>
      <xdr:col>15</xdr:col>
      <xdr:colOff>412750</xdr:colOff>
      <xdr:row>8</xdr:row>
      <xdr:rowOff>25400</xdr:rowOff>
    </xdr:from>
    <xdr:to>
      <xdr:col>19</xdr:col>
      <xdr:colOff>508000</xdr:colOff>
      <xdr:row>11</xdr:row>
      <xdr:rowOff>88900</xdr:rowOff>
    </xdr:to>
    <xdr:sp macro="" textlink="">
      <xdr:nvSpPr>
        <xdr:cNvPr id="8" name="Left Arrow 7"/>
        <xdr:cNvSpPr/>
      </xdr:nvSpPr>
      <xdr:spPr>
        <a:xfrm>
          <a:off x="8661400" y="1327150"/>
          <a:ext cx="2787650" cy="463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800"/>
            <a:t>3.b. Use Dropdown</a:t>
          </a:r>
          <a:r>
            <a:rPr lang="en-AU" sz="800" baseline="0"/>
            <a:t> box then goal seek to change loans</a:t>
          </a:r>
          <a:endParaRPr lang="en-AU" sz="800"/>
        </a:p>
      </xdr:txBody>
    </xdr:sp>
    <xdr:clientData/>
  </xdr:twoCellAnchor>
  <xdr:twoCellAnchor>
    <xdr:from>
      <xdr:col>12</xdr:col>
      <xdr:colOff>292100</xdr:colOff>
      <xdr:row>0</xdr:row>
      <xdr:rowOff>101600</xdr:rowOff>
    </xdr:from>
    <xdr:to>
      <xdr:col>17</xdr:col>
      <xdr:colOff>654050</xdr:colOff>
      <xdr:row>3</xdr:row>
      <xdr:rowOff>25400</xdr:rowOff>
    </xdr:to>
    <xdr:sp macro="" textlink="">
      <xdr:nvSpPr>
        <xdr:cNvPr id="9" name="Left Arrow 8"/>
        <xdr:cNvSpPr/>
      </xdr:nvSpPr>
      <xdr:spPr>
        <a:xfrm>
          <a:off x="6521450" y="101600"/>
          <a:ext cx="3727450" cy="463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800"/>
            <a:t>3.c. Note conditional formatting</a:t>
          </a:r>
          <a:r>
            <a:rPr lang="en-AU" sz="800" baseline="0"/>
            <a:t> to highlight error (goal seek required).</a:t>
          </a:r>
          <a:endParaRPr lang="en-AU" sz="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590550</xdr:colOff>
      <xdr:row>9</xdr:row>
      <xdr:rowOff>41275</xdr:rowOff>
    </xdr:from>
    <xdr:to>
      <xdr:col>9</xdr:col>
      <xdr:colOff>254000</xdr:colOff>
      <xdr:row>19</xdr:row>
      <xdr:rowOff>76200</xdr:rowOff>
    </xdr:to>
    <xdr:sp macro="" textlink="">
      <xdr:nvSpPr>
        <xdr:cNvPr id="2" name="Quad Arrow 1"/>
        <xdr:cNvSpPr/>
      </xdr:nvSpPr>
      <xdr:spPr>
        <a:xfrm>
          <a:off x="2660650" y="1406525"/>
          <a:ext cx="1771650" cy="1336675"/>
        </a:xfrm>
        <a:prstGeom prst="quadArrow">
          <a:avLst>
            <a:gd name="adj1" fmla="val 26527"/>
            <a:gd name="adj2" fmla="val 22500"/>
            <a:gd name="adj3" fmla="val 225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800"/>
            <a:t>6. Note timeseries, counters and logic</a:t>
          </a:r>
          <a:r>
            <a:rPr lang="en-AU" sz="800" baseline="0"/>
            <a:t> layout.</a:t>
          </a:r>
          <a:endParaRPr lang="en-AU" sz="800"/>
        </a:p>
      </xdr:txBody>
    </xdr:sp>
    <xdr:clientData/>
  </xdr:twoCellAnchor>
  <xdr:twoCellAnchor>
    <xdr:from>
      <xdr:col>5</xdr:col>
      <xdr:colOff>314325</xdr:colOff>
      <xdr:row>1</xdr:row>
      <xdr:rowOff>180975</xdr:rowOff>
    </xdr:from>
    <xdr:to>
      <xdr:col>8</xdr:col>
      <xdr:colOff>381000</xdr:colOff>
      <xdr:row>4</xdr:row>
      <xdr:rowOff>114301</xdr:rowOff>
    </xdr:to>
    <xdr:sp macro="" textlink="">
      <xdr:nvSpPr>
        <xdr:cNvPr id="3" name="Left Arrow 2"/>
        <xdr:cNvSpPr/>
      </xdr:nvSpPr>
      <xdr:spPr>
        <a:xfrm>
          <a:off x="1724025" y="409575"/>
          <a:ext cx="2181225" cy="41910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800"/>
            <a:t>7. Go back to Table</a:t>
          </a:r>
          <a:r>
            <a:rPr lang="en-AU" sz="800" baseline="0"/>
            <a:t> of Contents</a:t>
          </a:r>
          <a:endParaRPr lang="en-AU" sz="8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238124</xdr:colOff>
      <xdr:row>22</xdr:row>
      <xdr:rowOff>76200</xdr:rowOff>
    </xdr:from>
    <xdr:to>
      <xdr:col>11</xdr:col>
      <xdr:colOff>323849</xdr:colOff>
      <xdr:row>28</xdr:row>
      <xdr:rowOff>57150</xdr:rowOff>
    </xdr:to>
    <xdr:sp macro="" textlink="">
      <xdr:nvSpPr>
        <xdr:cNvPr id="2" name="Left Arrow 1"/>
        <xdr:cNvSpPr/>
      </xdr:nvSpPr>
      <xdr:spPr>
        <a:xfrm>
          <a:off x="2663824" y="2266950"/>
          <a:ext cx="2873375" cy="7429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800"/>
            <a:t>9.    Note links back to Assumptions &amp; Calculations</a:t>
          </a:r>
          <a:r>
            <a:rPr lang="en-AU" sz="800" baseline="0"/>
            <a:t>.</a:t>
          </a:r>
        </a:p>
        <a:p>
          <a:pPr algn="l"/>
          <a:r>
            <a:rPr lang="en-AU" sz="800" baseline="0"/>
            <a:t>10.  Click </a:t>
          </a:r>
          <a:r>
            <a:rPr lang="en-AU" sz="800"/>
            <a:t>Loan Dashboard hyperlink.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37</xdr:col>
      <xdr:colOff>3968</xdr:colOff>
      <xdr:row>24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20</xdr:row>
          <xdr:rowOff>69850</xdr:rowOff>
        </xdr:from>
        <xdr:to>
          <xdr:col>6</xdr:col>
          <xdr:colOff>19050</xdr:colOff>
          <xdr:row>22</xdr:row>
          <xdr:rowOff>0</xdr:rowOff>
        </xdr:to>
        <xdr:sp macro="" textlink="">
          <xdr:nvSpPr>
            <xdr:cNvPr id="33795" name="Drop Down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39</xdr:col>
      <xdr:colOff>573</xdr:colOff>
      <xdr:row>7</xdr:row>
      <xdr:rowOff>9525</xdr:rowOff>
    </xdr:from>
    <xdr:to>
      <xdr:col>75</xdr:col>
      <xdr:colOff>5738</xdr:colOff>
      <xdr:row>24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</xdr:colOff>
      <xdr:row>27</xdr:row>
      <xdr:rowOff>9525</xdr:rowOff>
    </xdr:from>
    <xdr:to>
      <xdr:col>37</xdr:col>
      <xdr:colOff>1</xdr:colOff>
      <xdr:row>43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1</xdr:colOff>
      <xdr:row>26</xdr:row>
      <xdr:rowOff>123825</xdr:rowOff>
    </xdr:from>
    <xdr:to>
      <xdr:col>75</xdr:col>
      <xdr:colOff>1</xdr:colOff>
      <xdr:row>43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28575</xdr:colOff>
      <xdr:row>1</xdr:row>
      <xdr:rowOff>180975</xdr:rowOff>
    </xdr:from>
    <xdr:to>
      <xdr:col>42</xdr:col>
      <xdr:colOff>31750</xdr:colOff>
      <xdr:row>4</xdr:row>
      <xdr:rowOff>114301</xdr:rowOff>
    </xdr:to>
    <xdr:sp macro="" textlink="">
      <xdr:nvSpPr>
        <xdr:cNvPr id="8" name="Left Arrow 7"/>
        <xdr:cNvSpPr/>
      </xdr:nvSpPr>
      <xdr:spPr>
        <a:xfrm>
          <a:off x="1641475" y="403225"/>
          <a:ext cx="4333875" cy="409576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800"/>
            <a:t>12. Note the error and alert</a:t>
          </a:r>
          <a:r>
            <a:rPr lang="en-AU" sz="800" baseline="0"/>
            <a:t> checks. Follow the flag to find the source of the alert check. </a:t>
          </a:r>
          <a:endParaRPr lang="en-AU" sz="800"/>
        </a:p>
      </xdr:txBody>
    </xdr:sp>
    <xdr:clientData/>
  </xdr:twoCellAnchor>
  <xdr:twoCellAnchor>
    <xdr:from>
      <xdr:col>21</xdr:col>
      <xdr:colOff>85725</xdr:colOff>
      <xdr:row>22</xdr:row>
      <xdr:rowOff>76200</xdr:rowOff>
    </xdr:from>
    <xdr:to>
      <xdr:col>54</xdr:col>
      <xdr:colOff>57149</xdr:colOff>
      <xdr:row>27</xdr:row>
      <xdr:rowOff>9525</xdr:rowOff>
    </xdr:to>
    <xdr:sp macro="" textlink="">
      <xdr:nvSpPr>
        <xdr:cNvPr id="9" name="Quad Arrow 8"/>
        <xdr:cNvSpPr/>
      </xdr:nvSpPr>
      <xdr:spPr>
        <a:xfrm>
          <a:off x="3162300" y="3200400"/>
          <a:ext cx="4686299" cy="609600"/>
        </a:xfrm>
        <a:prstGeom prst="quadArrow">
          <a:avLst>
            <a:gd name="adj1" fmla="val 26527"/>
            <a:gd name="adj2" fmla="val 24254"/>
            <a:gd name="adj3" fmla="val 225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800"/>
            <a:t>11. Note the evenly spaced &amp; sized , dynamic charts (not part of the question)</a:t>
          </a:r>
          <a:r>
            <a:rPr lang="en-AU" sz="800" baseline="0"/>
            <a:t>.</a:t>
          </a:r>
          <a:endParaRPr lang="en-AU" sz="800"/>
        </a:p>
      </xdr:txBody>
    </xdr:sp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0.85926</cdr:x>
      <cdr:y>0.14167</cdr:y>
    </cdr:from>
    <cdr:to>
      <cdr:x>0.92778</cdr:x>
      <cdr:y>0.82917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3810001" y="933452"/>
          <a:ext cx="1571625" cy="3524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AU" sz="800" b="1" i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Principal Balance Owing</a:t>
          </a:r>
        </a:p>
      </cdr:txBody>
    </cdr:sp>
  </cdr:relSizeAnchor>
  <cdr:relSizeAnchor xmlns:cdr="http://schemas.openxmlformats.org/drawingml/2006/chartDrawing">
    <cdr:from>
      <cdr:x>0.01852</cdr:x>
      <cdr:y>0.15833</cdr:y>
    </cdr:from>
    <cdr:to>
      <cdr:x>0.07408</cdr:x>
      <cdr:y>0.72083</cdr:y>
    </cdr:to>
    <cdr:sp macro="" textlink="">
      <cdr:nvSpPr>
        <cdr:cNvPr id="3" name="TextBox 1"/>
        <cdr:cNvSpPr txBox="1"/>
      </cdr:nvSpPr>
      <cdr:spPr>
        <a:xfrm xmlns:a="http://schemas.openxmlformats.org/drawingml/2006/main" rot="16200000">
          <a:off x="-404612" y="861891"/>
          <a:ext cx="1285875" cy="2859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800" b="1" i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 Payments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0.01357</cdr:x>
      <cdr:y>0.11437</cdr:y>
    </cdr:from>
    <cdr:to>
      <cdr:x>0.08207</cdr:x>
      <cdr:y>0.80474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-539610" y="869810"/>
          <a:ext cx="1571625" cy="352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800" b="1" i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Principal Balance Owing</a:t>
          </a:r>
        </a:p>
      </cdr:txBody>
    </cdr:sp>
  </cdr:relSizeAnchor>
  <cdr:relSizeAnchor xmlns:cdr="http://schemas.openxmlformats.org/drawingml/2006/chartDrawing">
    <cdr:from>
      <cdr:x>0.90896</cdr:x>
      <cdr:y>0.12692</cdr:y>
    </cdr:from>
    <cdr:to>
      <cdr:x>0.97747</cdr:x>
      <cdr:y>0.81729</cdr:y>
    </cdr:to>
    <cdr:sp macro="" textlink="">
      <cdr:nvSpPr>
        <cdr:cNvPr id="3" name="TextBox 1"/>
        <cdr:cNvSpPr txBox="1"/>
      </cdr:nvSpPr>
      <cdr:spPr>
        <a:xfrm xmlns:a="http://schemas.openxmlformats.org/drawingml/2006/main" rot="16200000">
          <a:off x="4070490" y="898385"/>
          <a:ext cx="1571625" cy="352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800" b="1" i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Principal Balance Owing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0.01357</cdr:x>
      <cdr:y>0.11437</cdr:y>
    </cdr:from>
    <cdr:to>
      <cdr:x>0.08207</cdr:x>
      <cdr:y>0.80474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-539610" y="869810"/>
          <a:ext cx="1571625" cy="352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800" b="1" i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% of Principal Balance Owing</a:t>
          </a:r>
        </a:p>
      </cdr:txBody>
    </cdr:sp>
  </cdr:relSizeAnchor>
  <cdr:relSizeAnchor xmlns:cdr="http://schemas.openxmlformats.org/drawingml/2006/chartDrawing">
    <cdr:from>
      <cdr:x>0.90896</cdr:x>
      <cdr:y>0.12692</cdr:y>
    </cdr:from>
    <cdr:to>
      <cdr:x>0.97747</cdr:x>
      <cdr:y>0.81729</cdr:y>
    </cdr:to>
    <cdr:sp macro="" textlink="">
      <cdr:nvSpPr>
        <cdr:cNvPr id="3" name="TextBox 1"/>
        <cdr:cNvSpPr txBox="1"/>
      </cdr:nvSpPr>
      <cdr:spPr>
        <a:xfrm xmlns:a="http://schemas.openxmlformats.org/drawingml/2006/main" rot="16200000">
          <a:off x="4070490" y="898385"/>
          <a:ext cx="1571625" cy="352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800" b="1" i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Cumulative</a:t>
          </a:r>
          <a:r>
            <a:rPr lang="en-AU" sz="800" b="1" i="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Revenue Earned</a:t>
          </a:r>
          <a:endParaRPr lang="en-AU" sz="800" b="1" i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0.01357</cdr:x>
      <cdr:y>0.11437</cdr:y>
    </cdr:from>
    <cdr:to>
      <cdr:x>0.08207</cdr:x>
      <cdr:y>0.80474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-539610" y="869810"/>
          <a:ext cx="1571625" cy="352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800" b="1" i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% of Principal Balance Owing</a:t>
          </a:r>
        </a:p>
      </cdr:txBody>
    </cdr:sp>
  </cdr:relSizeAnchor>
  <cdr:relSizeAnchor xmlns:cdr="http://schemas.openxmlformats.org/drawingml/2006/chartDrawing">
    <cdr:from>
      <cdr:x>0.90896</cdr:x>
      <cdr:y>0.12692</cdr:y>
    </cdr:from>
    <cdr:to>
      <cdr:x>0.97747</cdr:x>
      <cdr:y>0.81729</cdr:y>
    </cdr:to>
    <cdr:sp macro="" textlink="">
      <cdr:nvSpPr>
        <cdr:cNvPr id="3" name="TextBox 1"/>
        <cdr:cNvSpPr txBox="1"/>
      </cdr:nvSpPr>
      <cdr:spPr>
        <a:xfrm xmlns:a="http://schemas.openxmlformats.org/drawingml/2006/main" rot="16200000">
          <a:off x="4070490" y="898385"/>
          <a:ext cx="1571625" cy="352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800" b="1" i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% of Total </a:t>
          </a:r>
          <a:r>
            <a:rPr lang="en-AU" sz="800" b="1" i="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Revenue Earned</a:t>
          </a:r>
          <a:endParaRPr lang="en-AU" sz="800" b="1" i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657224</xdr:colOff>
      <xdr:row>1</xdr:row>
      <xdr:rowOff>180975</xdr:rowOff>
    </xdr:from>
    <xdr:to>
      <xdr:col>9</xdr:col>
      <xdr:colOff>257175</xdr:colOff>
      <xdr:row>4</xdr:row>
      <xdr:rowOff>114301</xdr:rowOff>
    </xdr:to>
    <xdr:sp macro="" textlink="">
      <xdr:nvSpPr>
        <xdr:cNvPr id="2" name="Left Arrow 1"/>
        <xdr:cNvSpPr/>
      </xdr:nvSpPr>
      <xdr:spPr>
        <a:xfrm>
          <a:off x="1752599" y="409575"/>
          <a:ext cx="2305051" cy="41910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800"/>
            <a:t>14. Go back to the Table of Contents.</a:t>
          </a:r>
          <a:r>
            <a:rPr lang="en-AU" sz="800" baseline="0"/>
            <a:t> </a:t>
          </a:r>
          <a:endParaRPr lang="en-AU" sz="8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6145" name="CB_Err_Chks_Show_Msg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Include summary in model name?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6147" name="CB_Alt_Chks_Show_Msg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Include summary in model name?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666750</xdr:colOff>
      <xdr:row>37</xdr:row>
      <xdr:rowOff>57150</xdr:rowOff>
    </xdr:from>
    <xdr:to>
      <xdr:col>9</xdr:col>
      <xdr:colOff>247650</xdr:colOff>
      <xdr:row>40</xdr:row>
      <xdr:rowOff>76201</xdr:rowOff>
    </xdr:to>
    <xdr:sp macro="" textlink="">
      <xdr:nvSpPr>
        <xdr:cNvPr id="4" name="Left Arrow 3"/>
        <xdr:cNvSpPr/>
      </xdr:nvSpPr>
      <xdr:spPr>
        <a:xfrm>
          <a:off x="1762125" y="5438775"/>
          <a:ext cx="2286000" cy="41910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800"/>
            <a:t>13. Follow</a:t>
          </a:r>
          <a:r>
            <a:rPr lang="en-AU" sz="800" baseline="0"/>
            <a:t> red highlighted hyperlink. </a:t>
          </a:r>
          <a:endParaRPr lang="en-AU" sz="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Tahoma"/>
        <a:ea typeface="Tahoma"/>
        <a:cs typeface="Tahoma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ahoma"/>
        <a:ea typeface="Tahoma"/>
        <a:cs typeface="Tahoma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C9:O125"/>
  <sheetViews>
    <sheetView showGridLines="0" tabSelected="1" zoomScaleNormal="100" workbookViewId="0"/>
  </sheetViews>
  <sheetFormatPr defaultColWidth="11.77734375" defaultRowHeight="10" x14ac:dyDescent="0.2"/>
  <cols>
    <col min="1" max="2" width="11.77734375" style="15"/>
    <col min="3" max="6" width="3.77734375" style="15" customWidth="1"/>
    <col min="7" max="16384" width="11.77734375" style="15"/>
  </cols>
  <sheetData>
    <row r="9" spans="3:7" ht="17.5" x14ac:dyDescent="0.2">
      <c r="C9" s="14" t="s">
        <v>123</v>
      </c>
    </row>
    <row r="10" spans="3:7" ht="15" x14ac:dyDescent="0.2">
      <c r="C10" s="16" t="str">
        <f>"Precise Debt Modelling ("&amp;INDEX(LU_loan_selection,DD_selection)&amp;" - live case)"&amp;Err_Chks_Msg&amp;Alt_Chks_Msg</f>
        <v>Precise Debt Modelling (Loan 1 - live case) (Alert in Loan 2 solution)</v>
      </c>
    </row>
    <row r="11" spans="3:7" x14ac:dyDescent="0.2">
      <c r="C11" s="230" t="s">
        <v>76</v>
      </c>
      <c r="D11" s="230"/>
      <c r="E11" s="230"/>
      <c r="F11" s="230"/>
      <c r="G11" s="230"/>
    </row>
    <row r="13" spans="3:7" x14ac:dyDescent="0.2">
      <c r="C13" s="17" t="s">
        <v>74</v>
      </c>
    </row>
    <row r="14" spans="3:7" x14ac:dyDescent="0.2">
      <c r="C14" s="17"/>
    </row>
    <row r="15" spans="3:7" x14ac:dyDescent="0.2">
      <c r="C15" s="17" t="s">
        <v>75</v>
      </c>
    </row>
    <row r="16" spans="3:7" x14ac:dyDescent="0.2">
      <c r="C16" s="25" t="s">
        <v>240</v>
      </c>
    </row>
    <row r="17" spans="3:15" x14ac:dyDescent="0.2">
      <c r="C17" s="17"/>
    </row>
    <row r="18" spans="3:15" x14ac:dyDescent="0.2">
      <c r="C18" s="207" t="s">
        <v>237</v>
      </c>
    </row>
    <row r="19" spans="3:15" x14ac:dyDescent="0.2">
      <c r="C19" s="226" t="s">
        <v>238</v>
      </c>
    </row>
    <row r="20" spans="3:15" x14ac:dyDescent="0.2">
      <c r="C20" s="17"/>
    </row>
    <row r="21" spans="3:15" ht="12.5" x14ac:dyDescent="0.2">
      <c r="C21" s="24" t="s">
        <v>212</v>
      </c>
    </row>
    <row r="22" spans="3:15" ht="12.5" x14ac:dyDescent="0.2">
      <c r="C22" s="18"/>
    </row>
    <row r="23" spans="3:15" ht="12.5" x14ac:dyDescent="0.2">
      <c r="C23" s="18" t="s">
        <v>124</v>
      </c>
    </row>
    <row r="25" spans="3:15" ht="11.5" x14ac:dyDescent="0.2">
      <c r="D25" s="19"/>
      <c r="E25" s="20" t="s">
        <v>125</v>
      </c>
      <c r="F25" s="19"/>
      <c r="G25" s="19"/>
      <c r="H25" s="19"/>
      <c r="I25" s="20" t="s">
        <v>126</v>
      </c>
      <c r="J25" s="19"/>
      <c r="K25" s="19"/>
      <c r="L25" s="19"/>
      <c r="M25" s="19"/>
      <c r="N25" s="229" t="s">
        <v>127</v>
      </c>
      <c r="O25" s="229"/>
    </row>
    <row r="27" spans="3:15" x14ac:dyDescent="0.2">
      <c r="E27" s="17" t="s">
        <v>128</v>
      </c>
    </row>
    <row r="29" spans="3:15" x14ac:dyDescent="0.2">
      <c r="E29" s="231" t="s">
        <v>129</v>
      </c>
      <c r="F29" s="231"/>
      <c r="G29" s="231"/>
      <c r="H29" s="231"/>
      <c r="I29" s="231" t="s">
        <v>130</v>
      </c>
      <c r="J29" s="231"/>
      <c r="K29" s="231"/>
      <c r="L29" s="231"/>
      <c r="M29" s="231"/>
      <c r="N29" s="232" t="s">
        <v>129</v>
      </c>
      <c r="O29" s="232"/>
    </row>
    <row r="31" spans="3:15" x14ac:dyDescent="0.2">
      <c r="E31" s="231" t="s">
        <v>131</v>
      </c>
      <c r="F31" s="231"/>
      <c r="G31" s="231"/>
      <c r="H31" s="231"/>
      <c r="I31" s="231" t="s">
        <v>132</v>
      </c>
      <c r="J31" s="231"/>
      <c r="K31" s="231"/>
      <c r="L31" s="231"/>
      <c r="M31" s="231"/>
      <c r="N31" s="233" t="s">
        <v>131</v>
      </c>
      <c r="O31" s="233"/>
    </row>
    <row r="33" spans="5:15" x14ac:dyDescent="0.2">
      <c r="E33" s="231" t="s">
        <v>133</v>
      </c>
      <c r="F33" s="231"/>
      <c r="G33" s="231"/>
      <c r="H33" s="231"/>
      <c r="I33" s="231" t="s">
        <v>134</v>
      </c>
      <c r="J33" s="231"/>
      <c r="K33" s="231"/>
      <c r="L33" s="231"/>
      <c r="M33" s="231"/>
      <c r="N33" s="234" t="s">
        <v>133</v>
      </c>
      <c r="O33" s="234"/>
    </row>
    <row r="34" spans="5:15" x14ac:dyDescent="0.2">
      <c r="E34" s="231"/>
      <c r="F34" s="231"/>
      <c r="G34" s="231"/>
      <c r="H34" s="231"/>
      <c r="I34" s="231"/>
      <c r="J34" s="231"/>
      <c r="K34" s="231"/>
      <c r="L34" s="231"/>
      <c r="M34" s="231"/>
    </row>
    <row r="36" spans="5:15" x14ac:dyDescent="0.2">
      <c r="E36" s="231" t="s">
        <v>91</v>
      </c>
      <c r="F36" s="231"/>
      <c r="G36" s="231"/>
      <c r="H36" s="231"/>
      <c r="I36" s="231" t="s">
        <v>135</v>
      </c>
      <c r="J36" s="231"/>
      <c r="K36" s="231"/>
      <c r="L36" s="231"/>
      <c r="M36" s="231"/>
      <c r="N36" s="235" t="s">
        <v>91</v>
      </c>
      <c r="O36" s="235"/>
    </row>
    <row r="39" spans="5:15" x14ac:dyDescent="0.2">
      <c r="E39" s="231" t="s">
        <v>136</v>
      </c>
      <c r="F39" s="231"/>
      <c r="G39" s="231"/>
      <c r="H39" s="231"/>
      <c r="I39" s="231" t="s">
        <v>137</v>
      </c>
      <c r="J39" s="231"/>
      <c r="K39" s="231"/>
      <c r="L39" s="231"/>
      <c r="M39" s="231"/>
      <c r="N39" s="236" t="s">
        <v>136</v>
      </c>
      <c r="O39" s="236"/>
    </row>
    <row r="40" spans="5:15" x14ac:dyDescent="0.2">
      <c r="E40" s="231"/>
      <c r="F40" s="231"/>
      <c r="G40" s="231"/>
      <c r="H40" s="231"/>
      <c r="I40" s="231"/>
      <c r="J40" s="231"/>
      <c r="K40" s="231"/>
      <c r="L40" s="231"/>
      <c r="M40" s="231"/>
    </row>
    <row r="42" spans="5:15" x14ac:dyDescent="0.2">
      <c r="E42" s="17" t="s">
        <v>138</v>
      </c>
    </row>
    <row r="44" spans="5:15" x14ac:dyDescent="0.2">
      <c r="E44" s="231" t="s">
        <v>139</v>
      </c>
      <c r="F44" s="231"/>
      <c r="G44" s="231"/>
      <c r="H44" s="231"/>
      <c r="I44" s="231" t="s">
        <v>140</v>
      </c>
      <c r="J44" s="231"/>
      <c r="K44" s="231"/>
      <c r="L44" s="231"/>
      <c r="M44" s="231"/>
      <c r="N44" s="237"/>
      <c r="O44" s="238"/>
    </row>
    <row r="46" spans="5:15" x14ac:dyDescent="0.2">
      <c r="E46" s="231" t="s">
        <v>141</v>
      </c>
      <c r="F46" s="231"/>
      <c r="G46" s="231"/>
      <c r="H46" s="231"/>
      <c r="I46" s="231" t="s">
        <v>142</v>
      </c>
      <c r="J46" s="231"/>
      <c r="K46" s="231"/>
      <c r="L46" s="231"/>
      <c r="M46" s="231"/>
      <c r="N46" s="239"/>
      <c r="O46" s="240"/>
    </row>
    <row r="47" spans="5:15" x14ac:dyDescent="0.2">
      <c r="E47" s="231"/>
      <c r="F47" s="231"/>
      <c r="G47" s="231"/>
      <c r="H47" s="231"/>
      <c r="I47" s="231"/>
      <c r="J47" s="231"/>
      <c r="K47" s="231"/>
      <c r="L47" s="231"/>
      <c r="M47" s="231"/>
    </row>
    <row r="49" spans="4:15" x14ac:dyDescent="0.2">
      <c r="E49" s="231" t="s">
        <v>143</v>
      </c>
      <c r="F49" s="231"/>
      <c r="G49" s="231"/>
      <c r="H49" s="231"/>
      <c r="I49" s="231" t="s">
        <v>144</v>
      </c>
      <c r="J49" s="231"/>
      <c r="K49" s="231"/>
      <c r="L49" s="231"/>
      <c r="M49" s="231"/>
      <c r="N49" s="242"/>
      <c r="O49" s="243"/>
    </row>
    <row r="50" spans="4:15" x14ac:dyDescent="0.2">
      <c r="E50" s="231"/>
      <c r="F50" s="231"/>
      <c r="G50" s="231"/>
      <c r="H50" s="231"/>
      <c r="I50" s="231"/>
      <c r="J50" s="231"/>
      <c r="K50" s="231"/>
      <c r="L50" s="231"/>
      <c r="M50" s="231"/>
    </row>
    <row r="51" spans="4:15" x14ac:dyDescent="0.2"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</row>
    <row r="54" spans="4:15" ht="11.5" x14ac:dyDescent="0.2">
      <c r="D54" s="19"/>
      <c r="E54" s="20" t="s">
        <v>145</v>
      </c>
      <c r="F54" s="19"/>
      <c r="G54" s="19"/>
      <c r="H54" s="19"/>
      <c r="I54" s="20" t="s">
        <v>146</v>
      </c>
      <c r="J54" s="19"/>
      <c r="K54" s="19"/>
      <c r="L54" s="19"/>
      <c r="M54" s="19"/>
      <c r="N54" s="229" t="s">
        <v>127</v>
      </c>
      <c r="O54" s="229"/>
    </row>
    <row r="56" spans="4:15" x14ac:dyDescent="0.2">
      <c r="E56" s="231" t="s">
        <v>147</v>
      </c>
      <c r="F56" s="231"/>
      <c r="G56" s="231"/>
      <c r="H56" s="231"/>
      <c r="I56" s="231" t="s">
        <v>148</v>
      </c>
      <c r="J56" s="231"/>
      <c r="K56" s="231"/>
      <c r="L56" s="231"/>
      <c r="M56" s="231"/>
      <c r="N56" s="236" t="s">
        <v>149</v>
      </c>
      <c r="O56" s="236"/>
    </row>
    <row r="57" spans="4:15" ht="11.25" customHeight="1" x14ac:dyDescent="0.2"/>
    <row r="58" spans="4:15" x14ac:dyDescent="0.2">
      <c r="E58" s="231" t="s">
        <v>150</v>
      </c>
      <c r="F58" s="231"/>
      <c r="G58" s="231"/>
      <c r="H58" s="231"/>
      <c r="I58" s="231" t="s">
        <v>151</v>
      </c>
      <c r="J58" s="231"/>
      <c r="K58" s="231"/>
      <c r="L58" s="231"/>
      <c r="M58" s="231"/>
      <c r="N58" s="236" t="s">
        <v>152</v>
      </c>
      <c r="O58" s="236"/>
    </row>
    <row r="59" spans="4:15" ht="11.25" customHeight="1" x14ac:dyDescent="0.2"/>
    <row r="60" spans="4:15" x14ac:dyDescent="0.2">
      <c r="E60" s="231" t="s">
        <v>153</v>
      </c>
      <c r="F60" s="231"/>
      <c r="G60" s="231"/>
      <c r="H60" s="231"/>
      <c r="I60" s="231" t="s">
        <v>154</v>
      </c>
      <c r="J60" s="231"/>
      <c r="K60" s="231"/>
      <c r="L60" s="231"/>
      <c r="M60" s="231"/>
      <c r="N60" s="236" t="s">
        <v>155</v>
      </c>
      <c r="O60" s="236"/>
    </row>
    <row r="61" spans="4:15" ht="11.25" customHeight="1" x14ac:dyDescent="0.2"/>
    <row r="62" spans="4:15" ht="12.5" x14ac:dyDescent="0.2">
      <c r="E62" s="231" t="s">
        <v>156</v>
      </c>
      <c r="F62" s="231"/>
      <c r="G62" s="231"/>
      <c r="H62" s="231"/>
      <c r="I62" s="231" t="s">
        <v>157</v>
      </c>
      <c r="J62" s="231"/>
      <c r="K62" s="231"/>
      <c r="L62" s="231"/>
      <c r="M62" s="231"/>
      <c r="N62" s="241" t="s">
        <v>79</v>
      </c>
      <c r="O62" s="241"/>
    </row>
    <row r="63" spans="4:15" ht="12.75" customHeight="1" x14ac:dyDescent="0.2">
      <c r="N63"/>
      <c r="O63"/>
    </row>
    <row r="64" spans="4:15" ht="12.5" x14ac:dyDescent="0.2">
      <c r="E64" s="231" t="s">
        <v>158</v>
      </c>
      <c r="F64" s="231"/>
      <c r="G64" s="231"/>
      <c r="H64" s="231"/>
      <c r="I64" s="231" t="s">
        <v>159</v>
      </c>
      <c r="J64" s="231"/>
      <c r="K64" s="231"/>
      <c r="L64" s="231"/>
      <c r="M64" s="231"/>
      <c r="N64" s="241" t="s">
        <v>82</v>
      </c>
      <c r="O64" s="241"/>
    </row>
    <row r="65" spans="3:15" ht="12.75" customHeight="1" x14ac:dyDescent="0.2">
      <c r="N65"/>
      <c r="O65"/>
    </row>
    <row r="66" spans="3:15" ht="12.5" x14ac:dyDescent="0.2">
      <c r="E66" s="231" t="s">
        <v>160</v>
      </c>
      <c r="F66" s="231"/>
      <c r="G66" s="231"/>
      <c r="H66" s="231"/>
      <c r="I66" s="231" t="s">
        <v>161</v>
      </c>
      <c r="J66" s="231"/>
      <c r="K66" s="231"/>
      <c r="L66" s="231"/>
      <c r="M66" s="231"/>
      <c r="N66" s="241" t="s">
        <v>83</v>
      </c>
      <c r="O66" s="241"/>
    </row>
    <row r="67" spans="3:15" ht="12.75" customHeight="1" x14ac:dyDescent="0.2"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</row>
    <row r="70" spans="3:15" ht="12.5" x14ac:dyDescent="0.2">
      <c r="C70" s="18" t="s">
        <v>162</v>
      </c>
    </row>
    <row r="72" spans="3:15" ht="11.5" x14ac:dyDescent="0.2">
      <c r="D72" s="19"/>
      <c r="E72" s="20" t="s">
        <v>163</v>
      </c>
      <c r="F72" s="19"/>
      <c r="G72" s="19"/>
      <c r="H72" s="19"/>
      <c r="I72" s="20" t="s">
        <v>164</v>
      </c>
      <c r="J72" s="19"/>
      <c r="K72" s="19"/>
      <c r="L72" s="19"/>
      <c r="M72" s="19"/>
      <c r="N72" s="229" t="s">
        <v>165</v>
      </c>
      <c r="O72" s="229"/>
    </row>
    <row r="74" spans="3:15" x14ac:dyDescent="0.2">
      <c r="E74" s="231" t="s">
        <v>166</v>
      </c>
      <c r="F74" s="231"/>
      <c r="G74" s="231"/>
      <c r="H74" s="231"/>
      <c r="I74" s="231" t="s">
        <v>167</v>
      </c>
      <c r="J74" s="231"/>
      <c r="K74" s="231"/>
      <c r="L74" s="231"/>
      <c r="M74" s="231"/>
      <c r="N74" s="244" t="s">
        <v>168</v>
      </c>
      <c r="O74" s="244"/>
    </row>
    <row r="75" spans="3:15" ht="11.25" customHeight="1" x14ac:dyDescent="0.2"/>
    <row r="76" spans="3:15" x14ac:dyDescent="0.2">
      <c r="E76" s="231" t="s">
        <v>169</v>
      </c>
      <c r="F76" s="231"/>
      <c r="G76" s="231"/>
      <c r="H76" s="231"/>
      <c r="I76" s="231" t="s">
        <v>170</v>
      </c>
      <c r="J76" s="231"/>
      <c r="K76" s="231"/>
      <c r="L76" s="231"/>
      <c r="M76" s="231"/>
      <c r="N76" s="244" t="s">
        <v>171</v>
      </c>
      <c r="O76" s="244"/>
    </row>
    <row r="77" spans="3:15" ht="11.25" customHeight="1" x14ac:dyDescent="0.2"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</row>
    <row r="79" spans="3:15" x14ac:dyDescent="0.2">
      <c r="E79" s="231" t="s">
        <v>172</v>
      </c>
      <c r="F79" s="231"/>
      <c r="G79" s="231"/>
      <c r="H79" s="231"/>
      <c r="I79" s="231" t="s">
        <v>173</v>
      </c>
      <c r="J79" s="231"/>
      <c r="K79" s="231"/>
      <c r="L79" s="231"/>
      <c r="M79" s="231"/>
      <c r="N79" s="244" t="s">
        <v>174</v>
      </c>
      <c r="O79" s="244"/>
    </row>
    <row r="80" spans="3:15" ht="11.25" customHeight="1" x14ac:dyDescent="0.2"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</row>
    <row r="82" spans="4:15" x14ac:dyDescent="0.2">
      <c r="E82" s="231" t="s">
        <v>175</v>
      </c>
      <c r="F82" s="231"/>
      <c r="G82" s="231"/>
      <c r="H82" s="231"/>
      <c r="I82" s="231" t="s">
        <v>176</v>
      </c>
      <c r="J82" s="231"/>
      <c r="K82" s="231"/>
      <c r="L82" s="231"/>
      <c r="M82" s="231"/>
      <c r="N82" s="244" t="s">
        <v>177</v>
      </c>
      <c r="O82" s="244"/>
    </row>
    <row r="83" spans="4:15" ht="11.25" customHeight="1" x14ac:dyDescent="0.2"/>
    <row r="84" spans="4:15" x14ac:dyDescent="0.2">
      <c r="E84" s="231" t="s">
        <v>178</v>
      </c>
      <c r="F84" s="231"/>
      <c r="G84" s="231"/>
      <c r="H84" s="231"/>
      <c r="I84" s="231" t="s">
        <v>179</v>
      </c>
      <c r="J84" s="231"/>
      <c r="K84" s="231"/>
      <c r="L84" s="231"/>
      <c r="M84" s="231"/>
      <c r="N84" s="244" t="s">
        <v>180</v>
      </c>
      <c r="O84" s="244"/>
    </row>
    <row r="85" spans="4:15" ht="11.25" customHeight="1" x14ac:dyDescent="0.2">
      <c r="E85" s="231"/>
      <c r="F85" s="231"/>
      <c r="G85" s="231"/>
      <c r="H85" s="231"/>
      <c r="I85" s="231"/>
      <c r="J85" s="231"/>
      <c r="K85" s="231"/>
      <c r="L85" s="231"/>
      <c r="M85" s="231"/>
    </row>
    <row r="86" spans="4:15" x14ac:dyDescent="0.2"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</row>
    <row r="88" spans="4:15" x14ac:dyDescent="0.2">
      <c r="E88" s="231" t="s">
        <v>181</v>
      </c>
      <c r="F88" s="231"/>
      <c r="G88" s="231"/>
      <c r="H88" s="231"/>
      <c r="I88" s="231" t="s">
        <v>182</v>
      </c>
      <c r="J88" s="231"/>
      <c r="K88" s="231"/>
      <c r="L88" s="231"/>
      <c r="M88" s="231"/>
      <c r="N88" s="244" t="s">
        <v>183</v>
      </c>
      <c r="O88" s="244"/>
    </row>
    <row r="89" spans="4:15" ht="11.25" customHeight="1" x14ac:dyDescent="0.2"/>
    <row r="90" spans="4:15" x14ac:dyDescent="0.2">
      <c r="E90" s="231" t="s">
        <v>184</v>
      </c>
      <c r="F90" s="231"/>
      <c r="G90" s="231"/>
      <c r="H90" s="231"/>
      <c r="I90" s="231" t="s">
        <v>185</v>
      </c>
      <c r="J90" s="231"/>
      <c r="K90" s="231"/>
      <c r="L90" s="231"/>
      <c r="M90" s="231"/>
      <c r="N90" s="244" t="s">
        <v>186</v>
      </c>
      <c r="O90" s="244"/>
    </row>
    <row r="91" spans="4:15" ht="11.25" customHeight="1" x14ac:dyDescent="0.2">
      <c r="E91" s="231"/>
      <c r="F91" s="231"/>
      <c r="G91" s="231"/>
      <c r="H91" s="231"/>
      <c r="I91" s="231"/>
      <c r="J91" s="231"/>
      <c r="K91" s="231"/>
      <c r="L91" s="231"/>
      <c r="M91" s="231"/>
    </row>
    <row r="92" spans="4:15" x14ac:dyDescent="0.2"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</row>
    <row r="94" spans="4:15" x14ac:dyDescent="0.2">
      <c r="E94" s="231" t="s">
        <v>187</v>
      </c>
      <c r="F94" s="231"/>
      <c r="G94" s="231"/>
      <c r="H94" s="231"/>
      <c r="I94" s="231" t="s">
        <v>188</v>
      </c>
      <c r="J94" s="231"/>
      <c r="K94" s="231"/>
      <c r="L94" s="231"/>
      <c r="M94" s="231"/>
      <c r="N94" s="244" t="s">
        <v>189</v>
      </c>
      <c r="O94" s="244"/>
    </row>
    <row r="95" spans="4:15" ht="11.25" customHeight="1" x14ac:dyDescent="0.2">
      <c r="E95" s="231"/>
      <c r="F95" s="231"/>
      <c r="G95" s="231"/>
      <c r="H95" s="231"/>
      <c r="I95" s="231"/>
      <c r="J95" s="231"/>
      <c r="K95" s="231"/>
      <c r="L95" s="231"/>
      <c r="M95" s="231"/>
    </row>
    <row r="96" spans="4:15" x14ac:dyDescent="0.2"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</row>
    <row r="98" spans="3:15" x14ac:dyDescent="0.2">
      <c r="E98" s="231" t="s">
        <v>190</v>
      </c>
      <c r="F98" s="231"/>
      <c r="G98" s="231"/>
      <c r="H98" s="231"/>
      <c r="I98" s="231" t="s">
        <v>241</v>
      </c>
      <c r="J98" s="231"/>
      <c r="K98" s="231"/>
      <c r="L98" s="231"/>
      <c r="M98" s="231"/>
      <c r="N98" s="244" t="s">
        <v>191</v>
      </c>
      <c r="O98" s="244"/>
    </row>
    <row r="99" spans="3:15" ht="11.25" customHeight="1" x14ac:dyDescent="0.2"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</row>
    <row r="101" spans="3:15" ht="12.5" x14ac:dyDescent="0.2">
      <c r="C101" s="18" t="s">
        <v>194</v>
      </c>
    </row>
    <row r="103" spans="3:15" ht="11.5" x14ac:dyDescent="0.2">
      <c r="D103" s="19"/>
      <c r="E103" s="20" t="s">
        <v>195</v>
      </c>
      <c r="F103" s="19"/>
      <c r="G103" s="19"/>
      <c r="H103" s="19"/>
      <c r="I103" s="20" t="s">
        <v>196</v>
      </c>
      <c r="J103" s="19"/>
      <c r="K103" s="19"/>
      <c r="L103" s="19"/>
      <c r="M103" s="19"/>
      <c r="N103" s="229" t="s">
        <v>197</v>
      </c>
      <c r="O103" s="229"/>
    </row>
    <row r="105" spans="3:15" x14ac:dyDescent="0.2">
      <c r="E105" s="227" t="s">
        <v>198</v>
      </c>
      <c r="F105" s="227"/>
      <c r="G105" s="227"/>
      <c r="H105" s="227"/>
      <c r="I105" s="227" t="s">
        <v>199</v>
      </c>
      <c r="J105" s="227"/>
      <c r="K105" s="227"/>
      <c r="L105" s="227"/>
      <c r="M105" s="227"/>
      <c r="N105" s="228" t="s">
        <v>200</v>
      </c>
      <c r="O105" s="228"/>
    </row>
    <row r="107" spans="3:15" x14ac:dyDescent="0.2">
      <c r="E107" s="227" t="s">
        <v>201</v>
      </c>
      <c r="F107" s="227"/>
      <c r="G107" s="227"/>
      <c r="H107" s="227"/>
      <c r="I107" s="227" t="s">
        <v>202</v>
      </c>
      <c r="J107" s="227"/>
      <c r="K107" s="227"/>
      <c r="L107" s="227"/>
      <c r="M107" s="227"/>
      <c r="N107" s="228" t="s">
        <v>203</v>
      </c>
      <c r="O107" s="228"/>
    </row>
    <row r="109" spans="3:15" x14ac:dyDescent="0.2">
      <c r="E109" s="227" t="s">
        <v>136</v>
      </c>
      <c r="F109" s="227"/>
      <c r="G109" s="227"/>
      <c r="H109" s="227"/>
      <c r="I109" s="227" t="s">
        <v>204</v>
      </c>
      <c r="J109" s="227"/>
      <c r="K109" s="227"/>
      <c r="L109" s="227"/>
      <c r="M109" s="227"/>
      <c r="N109" s="228" t="s">
        <v>205</v>
      </c>
      <c r="O109" s="228"/>
    </row>
    <row r="111" spans="3:15" x14ac:dyDescent="0.2">
      <c r="E111" s="227" t="s">
        <v>206</v>
      </c>
      <c r="F111" s="227"/>
      <c r="G111" s="227"/>
      <c r="H111" s="227"/>
      <c r="I111" s="227" t="s">
        <v>207</v>
      </c>
      <c r="J111" s="227"/>
      <c r="K111" s="227"/>
      <c r="L111" s="227"/>
      <c r="M111" s="227"/>
      <c r="N111" s="228" t="s">
        <v>208</v>
      </c>
      <c r="O111" s="228"/>
    </row>
    <row r="113" spans="3:15" x14ac:dyDescent="0.2">
      <c r="E113" s="227" t="s">
        <v>209</v>
      </c>
      <c r="F113" s="227"/>
      <c r="G113" s="227"/>
      <c r="H113" s="227"/>
      <c r="I113" s="227" t="s">
        <v>210</v>
      </c>
      <c r="J113" s="227"/>
      <c r="K113" s="227"/>
      <c r="L113" s="227"/>
      <c r="M113" s="227"/>
      <c r="N113" s="228" t="s">
        <v>211</v>
      </c>
      <c r="O113" s="228"/>
    </row>
    <row r="114" spans="3:15" x14ac:dyDescent="0.2"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</row>
    <row r="117" spans="3:15" x14ac:dyDescent="0.2">
      <c r="D117" s="17" t="s">
        <v>192</v>
      </c>
    </row>
    <row r="118" spans="3:15" x14ac:dyDescent="0.2">
      <c r="D118" s="22" t="s">
        <v>193</v>
      </c>
    </row>
    <row r="119" spans="3:15" x14ac:dyDescent="0.2">
      <c r="D119" s="22"/>
    </row>
    <row r="124" spans="3:15" x14ac:dyDescent="0.2">
      <c r="C124" s="23"/>
    </row>
    <row r="125" spans="3:15" x14ac:dyDescent="0.2">
      <c r="C125" s="23"/>
    </row>
  </sheetData>
  <mergeCells count="89">
    <mergeCell ref="E79:H79"/>
    <mergeCell ref="I79:M79"/>
    <mergeCell ref="N79:O79"/>
    <mergeCell ref="E82:H82"/>
    <mergeCell ref="I82:M82"/>
    <mergeCell ref="N82:O82"/>
    <mergeCell ref="E94:H95"/>
    <mergeCell ref="I94:M95"/>
    <mergeCell ref="N94:O94"/>
    <mergeCell ref="E98:H98"/>
    <mergeCell ref="I98:M98"/>
    <mergeCell ref="N98:O98"/>
    <mergeCell ref="E88:H88"/>
    <mergeCell ref="I88:M88"/>
    <mergeCell ref="N88:O88"/>
    <mergeCell ref="E90:H91"/>
    <mergeCell ref="I90:M91"/>
    <mergeCell ref="N90:O90"/>
    <mergeCell ref="E58:H58"/>
    <mergeCell ref="I58:M58"/>
    <mergeCell ref="E84:H85"/>
    <mergeCell ref="I84:M85"/>
    <mergeCell ref="N84:O84"/>
    <mergeCell ref="N58:O58"/>
    <mergeCell ref="E66:H66"/>
    <mergeCell ref="I66:M66"/>
    <mergeCell ref="N66:O66"/>
    <mergeCell ref="N72:O72"/>
    <mergeCell ref="E74:H74"/>
    <mergeCell ref="I74:M74"/>
    <mergeCell ref="N74:O74"/>
    <mergeCell ref="E76:H76"/>
    <mergeCell ref="I76:M76"/>
    <mergeCell ref="N76:O76"/>
    <mergeCell ref="E64:H64"/>
    <mergeCell ref="I64:M64"/>
    <mergeCell ref="N64:O64"/>
    <mergeCell ref="E49:H50"/>
    <mergeCell ref="I49:M50"/>
    <mergeCell ref="N49:O49"/>
    <mergeCell ref="E60:H60"/>
    <mergeCell ref="I60:M60"/>
    <mergeCell ref="N60:O60"/>
    <mergeCell ref="E62:H62"/>
    <mergeCell ref="I62:M62"/>
    <mergeCell ref="N62:O62"/>
    <mergeCell ref="N54:O54"/>
    <mergeCell ref="E56:H56"/>
    <mergeCell ref="I56:M56"/>
    <mergeCell ref="N56:O56"/>
    <mergeCell ref="E44:H44"/>
    <mergeCell ref="I44:M44"/>
    <mergeCell ref="N44:O44"/>
    <mergeCell ref="E46:H47"/>
    <mergeCell ref="I46:M47"/>
    <mergeCell ref="N46:O46"/>
    <mergeCell ref="E36:H36"/>
    <mergeCell ref="I36:M36"/>
    <mergeCell ref="N36:O36"/>
    <mergeCell ref="E39:H40"/>
    <mergeCell ref="I39:M40"/>
    <mergeCell ref="N39:O39"/>
    <mergeCell ref="E31:H31"/>
    <mergeCell ref="I31:M31"/>
    <mergeCell ref="N31:O31"/>
    <mergeCell ref="E33:H34"/>
    <mergeCell ref="I33:M34"/>
    <mergeCell ref="N33:O33"/>
    <mergeCell ref="C11:G11"/>
    <mergeCell ref="N25:O25"/>
    <mergeCell ref="E29:H29"/>
    <mergeCell ref="I29:M29"/>
    <mergeCell ref="N29:O29"/>
    <mergeCell ref="E107:H107"/>
    <mergeCell ref="I107:M107"/>
    <mergeCell ref="N107:O107"/>
    <mergeCell ref="N103:O103"/>
    <mergeCell ref="E105:H105"/>
    <mergeCell ref="I105:M105"/>
    <mergeCell ref="N105:O105"/>
    <mergeCell ref="E113:H113"/>
    <mergeCell ref="I113:M113"/>
    <mergeCell ref="N113:O113"/>
    <mergeCell ref="E109:H109"/>
    <mergeCell ref="I109:M109"/>
    <mergeCell ref="N109:O109"/>
    <mergeCell ref="E111:H111"/>
    <mergeCell ref="I111:M111"/>
    <mergeCell ref="N111:O111"/>
  </mergeCells>
  <hyperlinks>
    <hyperlink ref="C11" location="HL_Home" tooltip="Go to Table of Contents" display="HL_Home"/>
  </hyperlinks>
  <pageMargins left="0.39370078740157499" right="0.39370078740157499" top="0.59055118110236204" bottom="0.98425196850393704" header="0" footer="0.31496062992126"/>
  <pageSetup paperSize="9" scale="2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Q21"/>
  <sheetViews>
    <sheetView showGridLines="0" zoomScaleNormal="100" workbookViewId="0">
      <pane xSplit="1" ySplit="6" topLeftCell="B7" activePane="bottomRight" state="frozen"/>
      <selection activeCell="B11" sqref="B11:P11"/>
      <selection pane="topRight" activeCell="B11" sqref="B11:P11"/>
      <selection pane="bottomLeft" activeCell="B11" sqref="B11:P11"/>
      <selection pane="bottomRight" activeCell="B3" sqref="B3:I3"/>
    </sheetView>
  </sheetViews>
  <sheetFormatPr defaultColWidth="11.77734375" defaultRowHeight="10" outlineLevelRow="2" x14ac:dyDescent="0.2"/>
  <cols>
    <col min="1" max="2" width="3.77734375" style="15" customWidth="1"/>
    <col min="3" max="3" width="0" style="15" hidden="1" customWidth="1"/>
    <col min="4" max="4" width="4.109375" style="15" hidden="1" customWidth="1"/>
    <col min="5" max="5" width="0" style="15" hidden="1" customWidth="1"/>
    <col min="6" max="6" width="2.6640625" style="15" customWidth="1"/>
    <col min="7" max="7" width="0" style="15" hidden="1" customWidth="1"/>
    <col min="8" max="8" width="1.6640625" style="15" customWidth="1"/>
    <col min="9" max="16" width="11.77734375" style="15"/>
    <col min="17" max="17" width="7.44140625" style="15" customWidth="1"/>
    <col min="18" max="16384" width="11.77734375" style="15"/>
  </cols>
  <sheetData>
    <row r="1" spans="1:17" ht="17.5" x14ac:dyDescent="0.2">
      <c r="B1" s="27" t="s">
        <v>77</v>
      </c>
    </row>
    <row r="2" spans="1:17" ht="15" x14ac:dyDescent="0.2">
      <c r="B2" s="28" t="str">
        <f>Model_Name</f>
        <v>Precise Debt Modelling (Loan 1 - live case) (Alert in Loan 2 solution)</v>
      </c>
    </row>
    <row r="3" spans="1:17" x14ac:dyDescent="0.2">
      <c r="B3" s="248" t="s">
        <v>78</v>
      </c>
      <c r="C3" s="248"/>
      <c r="D3" s="248"/>
      <c r="E3" s="248"/>
      <c r="F3" s="248"/>
      <c r="G3" s="248"/>
      <c r="H3" s="248"/>
      <c r="I3" s="248"/>
    </row>
    <row r="6" spans="1:17" s="30" customFormat="1" ht="12.5" x14ac:dyDescent="0.2">
      <c r="A6" s="11" t="s">
        <v>79</v>
      </c>
      <c r="B6" s="29" t="s">
        <v>80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18" t="s">
        <v>213</v>
      </c>
    </row>
    <row r="7" spans="1:17" x14ac:dyDescent="0.2">
      <c r="B7" s="31"/>
    </row>
    <row r="8" spans="1:17" ht="19.149999999999999" customHeight="1" x14ac:dyDescent="0.2">
      <c r="B8" s="245">
        <v>1</v>
      </c>
      <c r="C8" s="245"/>
      <c r="D8" s="246" t="str">
        <f>Assumptions_SC!C9</f>
        <v>Assumptions</v>
      </c>
      <c r="E8" s="246"/>
      <c r="F8" s="246"/>
      <c r="G8" s="246"/>
      <c r="H8" s="246"/>
      <c r="I8" s="246"/>
      <c r="J8" s="246"/>
      <c r="K8" s="246"/>
      <c r="L8" s="246"/>
      <c r="M8" s="246"/>
      <c r="N8" s="246"/>
      <c r="O8" s="246"/>
      <c r="P8" s="246"/>
      <c r="Q8" s="119">
        <v>3</v>
      </c>
    </row>
    <row r="9" spans="1:17" outlineLevel="1" x14ac:dyDescent="0.2">
      <c r="F9" s="249" t="s">
        <v>103</v>
      </c>
      <c r="G9" s="249"/>
      <c r="H9" s="247" t="str">
        <f>Key_Assumptions_BA!B1</f>
        <v>Key Assumptions</v>
      </c>
      <c r="I9" s="247"/>
      <c r="J9" s="247"/>
      <c r="K9" s="247"/>
      <c r="L9" s="247"/>
      <c r="M9" s="247"/>
      <c r="N9" s="247"/>
      <c r="O9" s="247"/>
      <c r="P9" s="247"/>
      <c r="Q9" s="120">
        <v>4</v>
      </c>
    </row>
    <row r="10" spans="1:17" outlineLevel="1" x14ac:dyDescent="0.2">
      <c r="F10" s="249" t="s">
        <v>104</v>
      </c>
      <c r="G10" s="249"/>
      <c r="H10" s="247" t="str">
        <f>Calcs_TA!B1</f>
        <v>Time Series Assumptions &amp; Calculations</v>
      </c>
      <c r="I10" s="247"/>
      <c r="J10" s="247"/>
      <c r="K10" s="247"/>
      <c r="L10" s="247"/>
      <c r="M10" s="247"/>
      <c r="N10" s="247"/>
      <c r="O10" s="247"/>
      <c r="P10" s="247"/>
      <c r="Q10" s="120">
        <v>5</v>
      </c>
    </row>
    <row r="11" spans="1:17" ht="19.149999999999999" customHeight="1" x14ac:dyDescent="0.2">
      <c r="B11" s="245">
        <v>2</v>
      </c>
      <c r="C11" s="245"/>
      <c r="D11" s="246" t="str">
        <f>Outputs_SC!C9</f>
        <v>Outputs</v>
      </c>
      <c r="E11" s="246"/>
      <c r="F11" s="246"/>
      <c r="G11" s="246"/>
      <c r="H11" s="246"/>
      <c r="I11" s="246"/>
      <c r="J11" s="246"/>
      <c r="K11" s="246"/>
      <c r="L11" s="246"/>
      <c r="M11" s="246"/>
      <c r="N11" s="246"/>
      <c r="O11" s="246"/>
      <c r="P11" s="246"/>
      <c r="Q11" s="119">
        <v>6</v>
      </c>
    </row>
    <row r="12" spans="1:17" outlineLevel="1" x14ac:dyDescent="0.2">
      <c r="F12" s="249" t="s">
        <v>103</v>
      </c>
      <c r="G12" s="249"/>
      <c r="H12" s="247" t="str">
        <f>Outputs_TO!B1</f>
        <v>Model Outputs</v>
      </c>
      <c r="I12" s="247"/>
      <c r="J12" s="247"/>
      <c r="K12" s="247"/>
      <c r="L12" s="247"/>
      <c r="M12" s="247"/>
      <c r="N12" s="247"/>
      <c r="O12" s="247"/>
      <c r="P12" s="247"/>
      <c r="Q12" s="120">
        <v>7</v>
      </c>
    </row>
    <row r="13" spans="1:17" outlineLevel="1" x14ac:dyDescent="0.2">
      <c r="F13" s="249" t="s">
        <v>104</v>
      </c>
      <c r="G13" s="249"/>
      <c r="H13" s="247" t="str">
        <f>Dashboard_P_MS!B1</f>
        <v>Loan Dashboards</v>
      </c>
      <c r="I13" s="247"/>
      <c r="J13" s="247"/>
      <c r="K13" s="247"/>
      <c r="L13" s="247"/>
      <c r="M13" s="247"/>
      <c r="N13" s="247"/>
      <c r="O13" s="247"/>
      <c r="P13" s="247"/>
      <c r="Q13" s="120">
        <v>8</v>
      </c>
    </row>
    <row r="14" spans="1:17" outlineLevel="1" x14ac:dyDescent="0.2">
      <c r="F14" s="249" t="s">
        <v>107</v>
      </c>
      <c r="G14" s="249"/>
      <c r="H14" s="247" t="str">
        <f>Qn_Sol_BO!B1</f>
        <v>Model Questions &amp; Solutions</v>
      </c>
      <c r="I14" s="247"/>
      <c r="J14" s="247"/>
      <c r="K14" s="247"/>
      <c r="L14" s="247"/>
      <c r="M14" s="247"/>
      <c r="N14" s="247"/>
      <c r="O14" s="247"/>
      <c r="P14" s="247"/>
      <c r="Q14" s="120">
        <v>10</v>
      </c>
    </row>
    <row r="15" spans="1:17" ht="19.149999999999999" customHeight="1" x14ac:dyDescent="0.2">
      <c r="B15" s="245">
        <v>3</v>
      </c>
      <c r="C15" s="245"/>
      <c r="D15" s="246" t="str">
        <f>Appendices_SC!C9</f>
        <v>Appendices</v>
      </c>
      <c r="E15" s="246"/>
      <c r="F15" s="246"/>
      <c r="G15" s="246"/>
      <c r="H15" s="246"/>
      <c r="I15" s="246"/>
      <c r="J15" s="246"/>
      <c r="K15" s="246"/>
      <c r="L15" s="246"/>
      <c r="M15" s="246"/>
      <c r="N15" s="246"/>
      <c r="O15" s="246"/>
      <c r="P15" s="246"/>
      <c r="Q15" s="119">
        <v>12</v>
      </c>
    </row>
    <row r="16" spans="1:17" outlineLevel="1" x14ac:dyDescent="0.2">
      <c r="F16" s="249" t="s">
        <v>103</v>
      </c>
      <c r="G16" s="249"/>
      <c r="H16" s="247" t="str">
        <f>TS_LU!B1</f>
        <v>Time Series Lookup Tables</v>
      </c>
      <c r="I16" s="247"/>
      <c r="J16" s="247"/>
      <c r="K16" s="247"/>
      <c r="L16" s="247"/>
      <c r="M16" s="247"/>
      <c r="N16" s="247"/>
      <c r="O16" s="247"/>
      <c r="P16" s="247"/>
      <c r="Q16" s="120">
        <v>13</v>
      </c>
    </row>
    <row r="17" spans="2:17" outlineLevel="1" x14ac:dyDescent="0.2">
      <c r="F17" s="249" t="s">
        <v>104</v>
      </c>
      <c r="G17" s="249"/>
      <c r="H17" s="247" t="str">
        <f>Checks_BO!B1</f>
        <v>Checks</v>
      </c>
      <c r="I17" s="247"/>
      <c r="J17" s="247"/>
      <c r="K17" s="247"/>
      <c r="L17" s="247"/>
      <c r="M17" s="247"/>
      <c r="N17" s="247"/>
      <c r="O17" s="247"/>
      <c r="P17" s="247"/>
      <c r="Q17" s="120">
        <v>16</v>
      </c>
    </row>
    <row r="18" spans="2:17" ht="11.25" customHeight="1" outlineLevel="2" x14ac:dyDescent="0.2">
      <c r="H18" s="121" t="s">
        <v>88</v>
      </c>
      <c r="I18" s="250" t="str">
        <f>TOC_Hdg_3</f>
        <v>Error Checks</v>
      </c>
      <c r="J18" s="250"/>
      <c r="K18" s="250"/>
      <c r="L18" s="250"/>
      <c r="M18" s="250"/>
      <c r="N18" s="250"/>
      <c r="O18" s="250"/>
      <c r="P18" s="250"/>
      <c r="Q18" s="121" t="s">
        <v>88</v>
      </c>
    </row>
    <row r="19" spans="2:17" ht="11.25" customHeight="1" outlineLevel="2" x14ac:dyDescent="0.2">
      <c r="H19" s="121" t="s">
        <v>88</v>
      </c>
      <c r="I19" s="250" t="str">
        <f>TOC_Hdg_5</f>
        <v>Alert Checks</v>
      </c>
      <c r="J19" s="250"/>
      <c r="K19" s="250"/>
      <c r="L19" s="250"/>
      <c r="M19" s="250"/>
      <c r="N19" s="250"/>
      <c r="O19" s="250"/>
      <c r="P19" s="250"/>
      <c r="Q19" s="121" t="s">
        <v>88</v>
      </c>
    </row>
    <row r="21" spans="2:17" ht="18" customHeight="1" x14ac:dyDescent="0.2">
      <c r="B21" s="32" t="s">
        <v>214</v>
      </c>
      <c r="Q21" s="122">
        <v>17</v>
      </c>
    </row>
  </sheetData>
  <mergeCells count="23">
    <mergeCell ref="F16:G16"/>
    <mergeCell ref="H16:P16"/>
    <mergeCell ref="I18:P18"/>
    <mergeCell ref="I19:P19"/>
    <mergeCell ref="F13:G13"/>
    <mergeCell ref="H13:P13"/>
    <mergeCell ref="F14:G14"/>
    <mergeCell ref="F17:G17"/>
    <mergeCell ref="H17:P17"/>
    <mergeCell ref="B15:C15"/>
    <mergeCell ref="D15:P15"/>
    <mergeCell ref="H14:P14"/>
    <mergeCell ref="B3:I3"/>
    <mergeCell ref="F9:G9"/>
    <mergeCell ref="H9:P9"/>
    <mergeCell ref="F10:G10"/>
    <mergeCell ref="H10:P10"/>
    <mergeCell ref="B8:C8"/>
    <mergeCell ref="D8:P8"/>
    <mergeCell ref="B11:C11"/>
    <mergeCell ref="D11:P11"/>
    <mergeCell ref="F12:G12"/>
    <mergeCell ref="H12:P12"/>
  </mergeCells>
  <hyperlinks>
    <hyperlink ref="A6" location="$B$7" tooltip="Go to Top of Sheet" display="$B$7"/>
    <hyperlink ref="B8" location="HL_Sheet_Main_3" tooltip="Go to Assumptions" display="HL_Sheet_Main_3"/>
    <hyperlink ref="D8" location="HL_Sheet_Main_3" tooltip="Go to Assumptions" display="HL_Sheet_Main_3"/>
    <hyperlink ref="Q8" location="HL_Sheet_Main_3" tooltip="Go to Assumptions" display="HL_Sheet_Main_3"/>
    <hyperlink ref="F9" location="HL_Sheet_Main_13" tooltip="Go to Key Assumptions" display="HL_Sheet_Main_13"/>
    <hyperlink ref="H9" location="HL_Sheet_Main_13" tooltip="Go to Key Assumptions" display="HL_Sheet_Main_13"/>
    <hyperlink ref="Q9" location="HL_Sheet_Main_13" tooltip="Go to Key Assumptions" display="HL_Sheet_Main_13"/>
    <hyperlink ref="F10" location="HL_Sheet_Main_5" tooltip="Go to Time Series Calculations &amp; Other Assumptions" display="HL_Sheet_Main_5"/>
    <hyperlink ref="H10" location="HL_Sheet_Main_5" tooltip="Go to Time Series Calculations &amp; Other Assumptions" display="HL_Sheet_Main_5"/>
    <hyperlink ref="Q10" location="HL_Sheet_Main_5" tooltip="Go to Time Series Calculations &amp; Other Assumptions" display="HL_Sheet_Main_5"/>
    <hyperlink ref="B11" location="HL_Sheet_Main_6" tooltip="Go to Outputs" display="HL_Sheet_Main_6"/>
    <hyperlink ref="D11" location="HL_Sheet_Main_6" tooltip="Go to Outputs" display="HL_Sheet_Main_6"/>
    <hyperlink ref="Q11" location="HL_Sheet_Main_6" tooltip="Go to Outputs" display="HL_Sheet_Main_6"/>
    <hyperlink ref="F12" location="HL_Sheet_Main_14" tooltip="Go to Model Outputs" display="HL_Sheet_Main_14"/>
    <hyperlink ref="H12" location="HL_Sheet_Main_14" tooltip="Go to Model Outputs" display="HL_Sheet_Main_14"/>
    <hyperlink ref="Q12" location="HL_Sheet_Main_14" tooltip="Go to Model Outputs" display="HL_Sheet_Main_14"/>
    <hyperlink ref="F13" location="HL_Sheet_Main_4" tooltip="Go to Loan Dashboards" display="HL_Sheet_Main_4"/>
    <hyperlink ref="H13" location="HL_Sheet_Main_4" tooltip="Go to Loan Dashboards" display="HL_Sheet_Main_4"/>
    <hyperlink ref="Q13" location="HL_Sheet_Main_4" tooltip="Go to Loan Dashboards" display="HL_Sheet_Main_4"/>
    <hyperlink ref="F14" location="HL_Sheet_Main_7" tooltip="Go to Model Questions &amp; Solutions" display="HL_Sheet_Main_7"/>
    <hyperlink ref="H14" location="HL_Sheet_Main_7" tooltip="Go to Model Questions &amp; Solutions" display="HL_Sheet_Main_7"/>
    <hyperlink ref="Q14" location="HL_Sheet_Main_7" tooltip="Go to Model Questions &amp; Solutions" display="HL_Sheet_Main_7"/>
    <hyperlink ref="B15" location="HL_Sheet_Main_8" tooltip="Go to Appendices" display="HL_Sheet_Main_8"/>
    <hyperlink ref="D15" location="HL_Sheet_Main_8" tooltip="Go to Appendices" display="HL_Sheet_Main_8"/>
    <hyperlink ref="Q15" location="HL_Sheet_Main_8" tooltip="Go to Appendices" display="HL_Sheet_Main_8"/>
    <hyperlink ref="F16" location="HL_Sheet_Main_10" tooltip="Go to Time Series Lookup Tables" display="HL_Sheet_Main_10"/>
    <hyperlink ref="H16" location="HL_Sheet_Main_10" tooltip="Go to Time Series Lookup Tables" display="HL_Sheet_Main_10"/>
    <hyperlink ref="Q16" location="HL_Sheet_Main_10" tooltip="Go to Time Series Lookup Tables" display="HL_Sheet_Main_10"/>
    <hyperlink ref="F17" location="HL_Sheet_Main_12" tooltip="Go to Checks" display="HL_Sheet_Main_12"/>
    <hyperlink ref="H17" location="HL_Sheet_Main_12" tooltip="Go to Checks" display="HL_Sheet_Main_12"/>
    <hyperlink ref="Q17" location="HL_Sheet_Main_12" tooltip="Go to Checks" display="HL_Sheet_Main_12"/>
    <hyperlink ref="H18" location="HL_TOC_3" tooltip="Go to Error Checks" display="HL_TOC_3"/>
    <hyperlink ref="I18" location="HL_TOC_3" tooltip="Go to Error Checks" display="HL_TOC_3"/>
    <hyperlink ref="Q18" location="HL_TOC_3" tooltip="Go to Error Checks" display="HL_TOC_3"/>
    <hyperlink ref="H19" location="HL_TOC_5" tooltip="Go to Alert Checks" display="HL_TOC_5"/>
    <hyperlink ref="I19" location="HL_TOC_5" tooltip="Go to Alert Checks" display="HL_TOC_5"/>
    <hyperlink ref="Q19" location="HL_TOC_5" tooltip="Go to Alert Checks" display="HL_TOC_5"/>
    <hyperlink ref="B3" location="'Cover'!A1" tooltip="Go to Cover Sheet" display="'Cover'!A1"/>
  </hyperlinks>
  <pageMargins left="0.39370078740157499" right="0.39370078740157499" top="0.59055118110236204" bottom="0.98425196850393704" header="0" footer="0.31496062992126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C9:G20"/>
  <sheetViews>
    <sheetView showGridLines="0" zoomScaleNormal="100" workbookViewId="0">
      <selection activeCell="C13" sqref="C13"/>
    </sheetView>
  </sheetViews>
  <sheetFormatPr defaultColWidth="11.77734375" defaultRowHeight="10" x14ac:dyDescent="0.2"/>
  <cols>
    <col min="1" max="2" width="11.77734375" style="15"/>
    <col min="3" max="6" width="3.77734375" style="15" customWidth="1"/>
    <col min="7" max="16384" width="11.77734375" style="15"/>
  </cols>
  <sheetData>
    <row r="9" spans="3:7" ht="17.5" x14ac:dyDescent="0.2">
      <c r="C9" s="27" t="s">
        <v>73</v>
      </c>
    </row>
    <row r="10" spans="3:7" ht="16" x14ac:dyDescent="0.2">
      <c r="C10" s="33" t="s">
        <v>102</v>
      </c>
    </row>
    <row r="11" spans="3:7" ht="15" x14ac:dyDescent="0.2">
      <c r="C11" s="28" t="str">
        <f>Model_Name</f>
        <v>Precise Debt Modelling (Loan 1 - live case) (Alert in Loan 2 solution)</v>
      </c>
    </row>
    <row r="12" spans="3:7" x14ac:dyDescent="0.2">
      <c r="C12" s="230" t="s">
        <v>76</v>
      </c>
      <c r="D12" s="230"/>
      <c r="E12" s="230"/>
      <c r="F12" s="230"/>
      <c r="G12" s="230"/>
    </row>
    <row r="13" spans="3:7" ht="12.5" x14ac:dyDescent="0.2">
      <c r="C13" s="2" t="s">
        <v>82</v>
      </c>
      <c r="D13" s="3" t="s">
        <v>83</v>
      </c>
    </row>
    <row r="17" spans="3:3" x14ac:dyDescent="0.2">
      <c r="C17" s="17" t="s">
        <v>81</v>
      </c>
    </row>
    <row r="18" spans="3:3" x14ac:dyDescent="0.2">
      <c r="C18" s="25" t="s">
        <v>235</v>
      </c>
    </row>
    <row r="19" spans="3:3" x14ac:dyDescent="0.2">
      <c r="C19" s="26"/>
    </row>
    <row r="20" spans="3:3" x14ac:dyDescent="0.2">
      <c r="C20" s="26"/>
    </row>
  </sheetData>
  <mergeCells count="1">
    <mergeCell ref="C12:G12"/>
  </mergeCells>
  <hyperlinks>
    <hyperlink ref="D13" location="HL_Sheet_Main_13" tooltip="Go to Next Sheet" display="HL_Sheet_Main_13"/>
    <hyperlink ref="C13" location="HL_Sheet_Main_2" tooltip="Go to Previous Sheet" display="HL_Sheet_Main_2"/>
    <hyperlink ref="C12" location="HL_Home" tooltip="Go to Table of Contents" display="HL_Home"/>
  </hyperlinks>
  <pageMargins left="0.39370078740157499" right="0.39370078740157499" top="0.59055118110236204" bottom="0.98425196850393704" header="0" footer="0.31496062992126"/>
  <pageSetup paperSize="9" orientation="landscape" r:id="rId1"/>
  <headerFooter>
    <oddFooter>&amp;L&amp;F
&amp;A
Printed: &amp;T on &amp;D&amp;CPage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autoPageBreaks="0"/>
  </sheetPr>
  <dimension ref="A1:R120"/>
  <sheetViews>
    <sheetView showGridLines="0" zoomScaleNormal="100" workbookViewId="0">
      <pane xSplit="1" ySplit="4" topLeftCell="B5" activePane="bottomRight" state="frozen"/>
      <selection activeCell="B11" sqref="B11:P11"/>
      <selection pane="topRight" activeCell="B11" sqref="B11:P11"/>
      <selection pane="bottomLeft" activeCell="B11" sqref="B11:P11"/>
      <selection pane="bottomRight" activeCell="B3" sqref="B3:E3"/>
    </sheetView>
  </sheetViews>
  <sheetFormatPr defaultColWidth="11.77734375" defaultRowHeight="10" x14ac:dyDescent="0.2"/>
  <cols>
    <col min="1" max="4" width="3.77734375" style="34" customWidth="1"/>
    <col min="5" max="5" width="11.44140625" style="34" customWidth="1"/>
    <col min="6" max="16384" width="11.77734375" style="34"/>
  </cols>
  <sheetData>
    <row r="1" spans="1:18" ht="17.5" x14ac:dyDescent="0.2">
      <c r="B1" s="35" t="s">
        <v>108</v>
      </c>
    </row>
    <row r="2" spans="1:18" ht="15" x14ac:dyDescent="0.2">
      <c r="B2" s="36" t="str">
        <f>Model_Name</f>
        <v>Precise Debt Modelling (Loan 1 - live case) (Alert in Loan 2 solution)</v>
      </c>
    </row>
    <row r="3" spans="1:18" x14ac:dyDescent="0.2">
      <c r="B3" s="251" t="s">
        <v>76</v>
      </c>
      <c r="C3" s="251"/>
      <c r="D3" s="251"/>
      <c r="E3" s="251"/>
      <c r="F3" s="37"/>
    </row>
    <row r="4" spans="1:18" ht="12.5" x14ac:dyDescent="0.2">
      <c r="A4" s="144" t="s">
        <v>79</v>
      </c>
      <c r="B4" s="145" t="s">
        <v>82</v>
      </c>
      <c r="C4" s="146" t="s">
        <v>83</v>
      </c>
      <c r="D4" s="147" t="s">
        <v>100</v>
      </c>
      <c r="E4" s="148" t="s">
        <v>101</v>
      </c>
    </row>
    <row r="7" spans="1:18" ht="12.5" x14ac:dyDescent="0.2">
      <c r="B7" s="39" t="s">
        <v>73</v>
      </c>
      <c r="C7" s="112"/>
      <c r="D7" s="113"/>
      <c r="E7" s="113"/>
      <c r="I7" s="39" t="s">
        <v>5</v>
      </c>
    </row>
    <row r="8" spans="1:18" ht="15" x14ac:dyDescent="0.2">
      <c r="C8" s="40"/>
      <c r="D8" s="38"/>
      <c r="E8" s="38"/>
    </row>
    <row r="9" spans="1:18" ht="11.5" x14ac:dyDescent="0.2">
      <c r="C9" s="114" t="s">
        <v>60</v>
      </c>
      <c r="I9" s="42" t="s">
        <v>6</v>
      </c>
      <c r="K9" s="42"/>
      <c r="L9" s="142">
        <v>365</v>
      </c>
      <c r="M9" s="42" t="s">
        <v>7</v>
      </c>
    </row>
    <row r="10" spans="1:18" x14ac:dyDescent="0.2">
      <c r="F10" s="140">
        <v>42097</v>
      </c>
      <c r="I10" s="42" t="s">
        <v>9</v>
      </c>
      <c r="K10" s="42"/>
      <c r="L10" s="142">
        <v>12</v>
      </c>
      <c r="M10" s="42" t="s">
        <v>8</v>
      </c>
    </row>
    <row r="11" spans="1:18" x14ac:dyDescent="0.2">
      <c r="F11" s="140">
        <v>42100</v>
      </c>
    </row>
    <row r="12" spans="1:18" x14ac:dyDescent="0.2">
      <c r="F12" s="140">
        <v>42302</v>
      </c>
      <c r="I12" s="42" t="s">
        <v>10</v>
      </c>
      <c r="L12" s="43">
        <v>1</v>
      </c>
    </row>
    <row r="13" spans="1:18" x14ac:dyDescent="0.2">
      <c r="F13" s="140">
        <v>42454</v>
      </c>
      <c r="N13" s="42" t="s">
        <v>232</v>
      </c>
      <c r="O13" s="44"/>
      <c r="P13" s="44"/>
      <c r="Q13" s="44"/>
    </row>
    <row r="14" spans="1:18" x14ac:dyDescent="0.2">
      <c r="F14" s="140">
        <v>42457</v>
      </c>
      <c r="I14" s="252" t="s">
        <v>221</v>
      </c>
      <c r="J14" s="252"/>
      <c r="L14" s="94">
        <f>IF(ROUND(bal_diff,5)-ROUND(target_bal,5)=0,0,"- CHECK GOAL SEEK")</f>
        <v>0</v>
      </c>
      <c r="N14" s="150"/>
      <c r="R14" s="44"/>
    </row>
    <row r="15" spans="1:18" x14ac:dyDescent="0.2">
      <c r="F15" s="140">
        <v>42667</v>
      </c>
      <c r="I15" s="252" t="s">
        <v>215</v>
      </c>
      <c r="J15" s="252"/>
      <c r="L15" s="115">
        <f>IF(L14=0,0,1)</f>
        <v>0</v>
      </c>
      <c r="N15" s="150"/>
    </row>
    <row r="16" spans="1:18" x14ac:dyDescent="0.2">
      <c r="F16" s="140">
        <v>42839</v>
      </c>
      <c r="N16" s="150"/>
    </row>
    <row r="17" spans="3:14" x14ac:dyDescent="0.2">
      <c r="F17" s="140">
        <v>42842</v>
      </c>
      <c r="I17" s="41" t="s">
        <v>68</v>
      </c>
    </row>
    <row r="18" spans="3:14" x14ac:dyDescent="0.2">
      <c r="F18" s="140">
        <v>43038</v>
      </c>
    </row>
    <row r="19" spans="3:14" x14ac:dyDescent="0.2">
      <c r="F19" s="140">
        <v>43189</v>
      </c>
      <c r="I19" s="34" t="str">
        <f>D30</f>
        <v>Loan Amount</v>
      </c>
      <c r="L19" s="46">
        <f>CHOOSE(DD_selection,F30,F36)</f>
        <v>250000</v>
      </c>
    </row>
    <row r="20" spans="3:14" x14ac:dyDescent="0.2">
      <c r="F20" s="140">
        <v>43192</v>
      </c>
      <c r="I20" s="34" t="str">
        <f>D31</f>
        <v>Term</v>
      </c>
      <c r="L20" s="47">
        <f>CHOOSE(DD_selection,F31,F37)</f>
        <v>72</v>
      </c>
      <c r="M20" s="42" t="s">
        <v>32</v>
      </c>
      <c r="N20" s="48" t="str">
        <f>G31</f>
        <v>months</v>
      </c>
    </row>
    <row r="21" spans="3:14" x14ac:dyDescent="0.2">
      <c r="F21" s="140">
        <v>43392</v>
      </c>
      <c r="I21" s="34" t="str">
        <f>D32</f>
        <v>Drawdown Date</v>
      </c>
      <c r="L21" s="49">
        <f>CHOOSE(DD_selection,F32,F38)</f>
        <v>42023</v>
      </c>
    </row>
    <row r="22" spans="3:14" x14ac:dyDescent="0.2">
      <c r="F22" s="140">
        <v>43574</v>
      </c>
      <c r="I22" s="34" t="str">
        <f>D33</f>
        <v>Interest Rate</v>
      </c>
      <c r="L22" s="50">
        <f>CHOOSE(DD_selection,F33,F39)</f>
        <v>5.1999999999999998E-2</v>
      </c>
      <c r="M22" s="42" t="s">
        <v>20</v>
      </c>
    </row>
    <row r="23" spans="3:14" x14ac:dyDescent="0.2">
      <c r="F23" s="140">
        <v>43577</v>
      </c>
    </row>
    <row r="24" spans="3:14" x14ac:dyDescent="0.2">
      <c r="F24" s="140">
        <v>43752</v>
      </c>
      <c r="I24" s="42" t="s">
        <v>12</v>
      </c>
      <c r="L24" s="51">
        <f>PMT(L22/mths_in_year,L20,L19,0,0)</f>
        <v>-4049.4671324739656</v>
      </c>
      <c r="M24" s="42" t="s">
        <v>21</v>
      </c>
    </row>
    <row r="25" spans="3:14" x14ac:dyDescent="0.2">
      <c r="F25" s="140">
        <v>43931</v>
      </c>
    </row>
    <row r="26" spans="3:14" x14ac:dyDescent="0.2">
      <c r="F26" s="140">
        <v>43934</v>
      </c>
    </row>
    <row r="27" spans="3:14" x14ac:dyDescent="0.2">
      <c r="F27" s="140">
        <v>44123</v>
      </c>
      <c r="G27" s="42" t="s">
        <v>219</v>
      </c>
    </row>
    <row r="29" spans="3:14" x14ac:dyDescent="0.2">
      <c r="C29" s="41" t="s">
        <v>0</v>
      </c>
    </row>
    <row r="30" spans="3:14" x14ac:dyDescent="0.2">
      <c r="D30" s="42" t="s">
        <v>1</v>
      </c>
      <c r="F30" s="141">
        <v>250000</v>
      </c>
      <c r="G30" s="52"/>
    </row>
    <row r="31" spans="3:14" x14ac:dyDescent="0.2">
      <c r="D31" s="42" t="s">
        <v>233</v>
      </c>
      <c r="F31" s="142">
        <v>72</v>
      </c>
      <c r="G31" s="52" t="s">
        <v>109</v>
      </c>
    </row>
    <row r="32" spans="3:14" x14ac:dyDescent="0.2">
      <c r="D32" s="42" t="s">
        <v>2</v>
      </c>
      <c r="F32" s="140">
        <v>42023</v>
      </c>
      <c r="G32" s="52"/>
    </row>
    <row r="33" spans="3:7" x14ac:dyDescent="0.2">
      <c r="D33" s="42" t="s">
        <v>3</v>
      </c>
      <c r="F33" s="143">
        <v>5.1999999999999998E-2</v>
      </c>
      <c r="G33" s="52"/>
    </row>
    <row r="34" spans="3:7" x14ac:dyDescent="0.2">
      <c r="D34" s="149"/>
    </row>
    <row r="35" spans="3:7" x14ac:dyDescent="0.2">
      <c r="C35" s="41" t="s">
        <v>4</v>
      </c>
    </row>
    <row r="36" spans="3:7" x14ac:dyDescent="0.2">
      <c r="D36" s="42" t="s">
        <v>1</v>
      </c>
      <c r="F36" s="141">
        <v>100000</v>
      </c>
      <c r="G36" s="52"/>
    </row>
    <row r="37" spans="3:7" x14ac:dyDescent="0.2">
      <c r="D37" s="42" t="s">
        <v>233</v>
      </c>
      <c r="F37" s="142">
        <v>48</v>
      </c>
      <c r="G37" s="52" t="s">
        <v>109</v>
      </c>
    </row>
    <row r="38" spans="3:7" x14ac:dyDescent="0.2">
      <c r="D38" s="42" t="s">
        <v>2</v>
      </c>
      <c r="F38" s="140">
        <v>42185</v>
      </c>
      <c r="G38" s="52"/>
    </row>
    <row r="39" spans="3:7" x14ac:dyDescent="0.2">
      <c r="D39" s="42" t="s">
        <v>3</v>
      </c>
      <c r="F39" s="143">
        <v>7.0000000000000007E-2</v>
      </c>
      <c r="G39" s="52"/>
    </row>
    <row r="41" spans="3:7" x14ac:dyDescent="0.2">
      <c r="C41" s="45"/>
    </row>
    <row r="47" spans="3:7" x14ac:dyDescent="0.2">
      <c r="C47" s="45"/>
    </row>
    <row r="120" spans="3:4" x14ac:dyDescent="0.2">
      <c r="C120" s="53"/>
      <c r="D120" s="54"/>
    </row>
  </sheetData>
  <mergeCells count="3">
    <mergeCell ref="B3:E3"/>
    <mergeCell ref="I15:J15"/>
    <mergeCell ref="I14:J14"/>
  </mergeCells>
  <conditionalFormatting sqref="L15">
    <cfRule type="cellIs" dxfId="26" priority="2" stopIfTrue="1" operator="notEqual">
      <formula>0</formula>
    </cfRule>
  </conditionalFormatting>
  <conditionalFormatting sqref="L14">
    <cfRule type="cellIs" dxfId="25" priority="3" stopIfTrue="1" operator="notEqual">
      <formula>0</formula>
    </cfRule>
  </conditionalFormatting>
  <conditionalFormatting sqref="B2">
    <cfRule type="expression" dxfId="24" priority="11">
      <formula>$L$14="- CHECK GOAL SEEK"</formula>
    </cfRule>
  </conditionalFormatting>
  <dataValidations disablePrompts="1" count="2">
    <dataValidation type="whole" showDropDown="1" showErrorMessage="1" errorTitle="Drop Down Box Cell Link" error="The value in a drop down box cell link must be a whole number within the control's lookup range rows." sqref="L12">
      <formula1>1</formula1>
      <formula2>ROWS(loan_selection)</formula2>
    </dataValidation>
    <dataValidation type="date" operator="greaterThan" allowBlank="1" showInputMessage="1" showErrorMessage="1" sqref="F10:F27">
      <formula1>42005</formula1>
    </dataValidation>
  </dataValidations>
  <hyperlinks>
    <hyperlink ref="A4" location="$B$5" tooltip="Go to Top of Sheet" display="$B$5"/>
    <hyperlink ref="C4" location="HL_Sheet_Main_5" tooltip="Go to Next Sheet" display="HL_Sheet_Main_5"/>
    <hyperlink ref="B4" location="HL_Sheet_Main_3" tooltip="Go to Previous Sheet" display="HL_Sheet_Main_3"/>
    <hyperlink ref="B3" location="HL_Home" tooltip="Go to Table of Contents" display="HL_Home"/>
    <hyperlink ref="D4" location="HL_Err_Chk" tooltip="Go to Error Checks" display="HL_Err_Chk"/>
    <hyperlink ref="E4" location="HL_Alt_Chk" tooltip="Go to Alert Checks" display="HL_Alt_Chk"/>
  </hyperlinks>
  <pageMargins left="0.39370078740157499" right="0.39370078740157499" top="0.59055118110236204" bottom="0.98425196850393704" header="0" footer="0.31496062992126"/>
  <pageSetup paperSize="9" orientation="landscape" r:id="rId1"/>
  <headerFooter>
    <oddFooter>&amp;L&amp;F
&amp;A
Printed: &amp;T on &amp;D&amp;CPage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Drop Down 1">
              <controlPr defaultSize="0" autoFill="0" autoPict="0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209550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GoalSeek">
                <anchor moveWithCells="1" sizeWithCells="1">
                  <from>
                    <xdr:col>12</xdr:col>
                    <xdr:colOff>469900</xdr:colOff>
                    <xdr:row>11</xdr:row>
                    <xdr:rowOff>0</xdr:rowOff>
                  </from>
                  <to>
                    <xdr:col>15</xdr:col>
                    <xdr:colOff>260350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CC59"/>
  <sheetViews>
    <sheetView showGridLines="0" zoomScaleNormal="100" workbookViewId="0">
      <pane xSplit="9" ySplit="8" topLeftCell="J9" activePane="bottomRight" state="frozen"/>
      <selection activeCell="B11" sqref="B11:P11"/>
      <selection pane="topRight" activeCell="B11" sqref="B11:P11"/>
      <selection pane="bottomLeft" activeCell="B11" sqref="B11:P11"/>
      <selection pane="bottomRight" activeCell="B3" sqref="B3:F3"/>
    </sheetView>
  </sheetViews>
  <sheetFormatPr defaultColWidth="11.77734375" defaultRowHeight="10" x14ac:dyDescent="0.2"/>
  <cols>
    <col min="1" max="4" width="3.77734375" style="34" customWidth="1"/>
    <col min="5" max="5" width="9.33203125" style="34" customWidth="1"/>
    <col min="6" max="7" width="11.77734375" style="34" customWidth="1"/>
    <col min="8" max="8" width="13.33203125" style="38" customWidth="1"/>
    <col min="9" max="9" width="11.77734375" style="34" customWidth="1"/>
    <col min="10" max="54" width="13.33203125" style="34" customWidth="1"/>
    <col min="55" max="81" width="12" style="34" customWidth="1"/>
    <col min="82" max="16384" width="11.77734375" style="34"/>
  </cols>
  <sheetData>
    <row r="1" spans="1:81" ht="17.5" x14ac:dyDescent="0.2">
      <c r="B1" s="35" t="s">
        <v>239</v>
      </c>
      <c r="H1" s="34"/>
      <c r="M1" s="55"/>
    </row>
    <row r="2" spans="1:81" ht="15" x14ac:dyDescent="0.2">
      <c r="B2" s="36" t="str">
        <f>Model_Name</f>
        <v>Precise Debt Modelling (Loan 1 - live case) (Alert in Loan 2 solution)</v>
      </c>
      <c r="H2" s="34"/>
    </row>
    <row r="3" spans="1:81" x14ac:dyDescent="0.2">
      <c r="B3" s="251" t="s">
        <v>76</v>
      </c>
      <c r="C3" s="251"/>
      <c r="D3" s="251"/>
      <c r="E3" s="251"/>
      <c r="F3" s="251"/>
      <c r="H3" s="34"/>
    </row>
    <row r="4" spans="1:81" ht="12.5" x14ac:dyDescent="0.2">
      <c r="A4" s="4" t="s">
        <v>79</v>
      </c>
      <c r="B4" s="5" t="s">
        <v>82</v>
      </c>
      <c r="C4" s="12" t="s">
        <v>83</v>
      </c>
      <c r="D4" s="6" t="s">
        <v>100</v>
      </c>
      <c r="E4" s="7" t="s">
        <v>101</v>
      </c>
      <c r="H4" s="34"/>
      <c r="O4" s="95">
        <f>Key_Assumptions_BA!L14</f>
        <v>0</v>
      </c>
      <c r="P4" s="96"/>
    </row>
    <row r="5" spans="1:81" x14ac:dyDescent="0.2">
      <c r="H5" s="34"/>
    </row>
    <row r="6" spans="1:81" x14ac:dyDescent="0.2">
      <c r="H6" s="34"/>
    </row>
    <row r="7" spans="1:81" ht="12.5" x14ac:dyDescent="0.2">
      <c r="C7" s="39" t="s">
        <v>223</v>
      </c>
      <c r="H7" s="34"/>
    </row>
    <row r="8" spans="1:81" x14ac:dyDescent="0.2">
      <c r="D8" s="42" t="s">
        <v>13</v>
      </c>
      <c r="G8" s="56"/>
      <c r="J8" s="57">
        <f>IF(J10=1,Key_Assumptions_BA!L21,I9+1)</f>
        <v>42023</v>
      </c>
      <c r="K8" s="57">
        <f>IF(K10=1,Key_Assumptions_BA!M21,J9+1)</f>
        <v>42055</v>
      </c>
      <c r="L8" s="57">
        <f>IF(L10=1,Key_Assumptions_BA!N21,K9+1)</f>
        <v>42083</v>
      </c>
      <c r="M8" s="57">
        <f>IF(M10=1,Key_Assumptions_BA!O21,L9+1)</f>
        <v>42114</v>
      </c>
      <c r="N8" s="57">
        <f>IF(N10=1,Key_Assumptions_BA!P21,M9+1)</f>
        <v>42144</v>
      </c>
      <c r="O8" s="57">
        <f>IF(O10=1,Key_Assumptions_BA!Q21,N9+1)</f>
        <v>42175</v>
      </c>
      <c r="P8" s="57">
        <f>IF(P10=1,Key_Assumptions_BA!R21,O9+1)</f>
        <v>42205</v>
      </c>
      <c r="Q8" s="57">
        <f>IF(Q10=1,Key_Assumptions_BA!S21,P9+1)</f>
        <v>42236</v>
      </c>
      <c r="R8" s="57">
        <f>IF(R10=1,Key_Assumptions_BA!T21,Q9+1)</f>
        <v>42267</v>
      </c>
      <c r="S8" s="57">
        <f>IF(S10=1,Key_Assumptions_BA!U21,R9+1)</f>
        <v>42297</v>
      </c>
      <c r="T8" s="57">
        <f>IF(T10=1,Key_Assumptions_BA!V21,S9+1)</f>
        <v>42328</v>
      </c>
      <c r="U8" s="57">
        <f>IF(U10=1,Key_Assumptions_BA!W21,T9+1)</f>
        <v>42358</v>
      </c>
      <c r="V8" s="57">
        <f>IF(V10=1,Key_Assumptions_BA!X21,U9+1)</f>
        <v>42389</v>
      </c>
      <c r="W8" s="57">
        <f>IF(W10=1,Key_Assumptions_BA!Y21,V9+1)</f>
        <v>42420</v>
      </c>
      <c r="X8" s="57">
        <f>IF(X10=1,Key_Assumptions_BA!Z21,W9+1)</f>
        <v>42449</v>
      </c>
      <c r="Y8" s="57">
        <f>IF(Y10=1,Key_Assumptions_BA!AA21,X9+1)</f>
        <v>42480</v>
      </c>
      <c r="Z8" s="57">
        <f>IF(Z10=1,Key_Assumptions_BA!AB21,Y9+1)</f>
        <v>42510</v>
      </c>
      <c r="AA8" s="57">
        <f>IF(AA10=1,Key_Assumptions_BA!AC21,Z9+1)</f>
        <v>42541</v>
      </c>
      <c r="AB8" s="57">
        <f>IF(AB10=1,Key_Assumptions_BA!AD21,AA9+1)</f>
        <v>42571</v>
      </c>
      <c r="AC8" s="57">
        <f>IF(AC10=1,Key_Assumptions_BA!AE21,AB9+1)</f>
        <v>42602</v>
      </c>
      <c r="AD8" s="57">
        <f>IF(AD10=1,Key_Assumptions_BA!AF21,AC9+1)</f>
        <v>42633</v>
      </c>
      <c r="AE8" s="57">
        <f>IF(AE10=1,Key_Assumptions_BA!AG21,AD9+1)</f>
        <v>42663</v>
      </c>
      <c r="AF8" s="57">
        <f>IF(AF10=1,Key_Assumptions_BA!AH21,AE9+1)</f>
        <v>42694</v>
      </c>
      <c r="AG8" s="57">
        <f>IF(AG10=1,Key_Assumptions_BA!AI21,AF9+1)</f>
        <v>42724</v>
      </c>
      <c r="AH8" s="57">
        <f>IF(AH10=1,Key_Assumptions_BA!AJ21,AG9+1)</f>
        <v>42755</v>
      </c>
      <c r="AI8" s="57">
        <f>IF(AI10=1,Key_Assumptions_BA!AK21,AH9+1)</f>
        <v>42786</v>
      </c>
      <c r="AJ8" s="57">
        <f>IF(AJ10=1,Key_Assumptions_BA!AL21,AI9+1)</f>
        <v>42814</v>
      </c>
      <c r="AK8" s="57">
        <f>IF(AK10=1,Key_Assumptions_BA!AM21,AJ9+1)</f>
        <v>42845</v>
      </c>
      <c r="AL8" s="57">
        <f>IF(AL10=1,Key_Assumptions_BA!AN21,AK9+1)</f>
        <v>42875</v>
      </c>
      <c r="AM8" s="57">
        <f>IF(AM10=1,Key_Assumptions_BA!AO21,AL9+1)</f>
        <v>42906</v>
      </c>
      <c r="AN8" s="57">
        <f>IF(AN10=1,Key_Assumptions_BA!AP21,AM9+1)</f>
        <v>42936</v>
      </c>
      <c r="AO8" s="57">
        <f>IF(AO10=1,Key_Assumptions_BA!AQ21,AN9+1)</f>
        <v>42967</v>
      </c>
      <c r="AP8" s="57">
        <f>IF(AP10=1,Key_Assumptions_BA!AR21,AO9+1)</f>
        <v>42998</v>
      </c>
      <c r="AQ8" s="57">
        <f>IF(AQ10=1,Key_Assumptions_BA!AS21,AP9+1)</f>
        <v>43028</v>
      </c>
      <c r="AR8" s="57">
        <f>IF(AR10=1,Key_Assumptions_BA!AT21,AQ9+1)</f>
        <v>43059</v>
      </c>
      <c r="AS8" s="57">
        <f>IF(AS10=1,Key_Assumptions_BA!AU21,AR9+1)</f>
        <v>43089</v>
      </c>
      <c r="AT8" s="57">
        <f>IF(AT10=1,Key_Assumptions_BA!AV21,AS9+1)</f>
        <v>43120</v>
      </c>
      <c r="AU8" s="57">
        <f>IF(AU10=1,Key_Assumptions_BA!AW21,AT9+1)</f>
        <v>43151</v>
      </c>
      <c r="AV8" s="57">
        <f>IF(AV10=1,Key_Assumptions_BA!AX21,AU9+1)</f>
        <v>43179</v>
      </c>
      <c r="AW8" s="57">
        <f>IF(AW10=1,Key_Assumptions_BA!AY21,AV9+1)</f>
        <v>43210</v>
      </c>
      <c r="AX8" s="57">
        <f>IF(AX10=1,Key_Assumptions_BA!AZ21,AW9+1)</f>
        <v>43240</v>
      </c>
      <c r="AY8" s="57">
        <f>IF(AY10=1,Key_Assumptions_BA!BA21,AX9+1)</f>
        <v>43271</v>
      </c>
      <c r="AZ8" s="57">
        <f>IF(AZ10=1,Key_Assumptions_BA!BB21,AY9+1)</f>
        <v>43301</v>
      </c>
      <c r="BA8" s="57">
        <f>IF(BA10=1,Key_Assumptions_BA!BC21,AZ9+1)</f>
        <v>43332</v>
      </c>
      <c r="BB8" s="57">
        <f>IF(BB10=1,Key_Assumptions_BA!BD21,BA9+1)</f>
        <v>43363</v>
      </c>
      <c r="BC8" s="57">
        <f>IF(BC10=1,Key_Assumptions_BA!BE21,BB9+1)</f>
        <v>43393</v>
      </c>
      <c r="BD8" s="57">
        <f>IF(BD10=1,Key_Assumptions_BA!BF21,BC9+1)</f>
        <v>43424</v>
      </c>
      <c r="BE8" s="57">
        <f>IF(BE10=1,Key_Assumptions_BA!BG21,BD9+1)</f>
        <v>43454</v>
      </c>
      <c r="BF8" s="57">
        <f>IF(BF10=1,Key_Assumptions_BA!BH21,BE9+1)</f>
        <v>43485</v>
      </c>
      <c r="BG8" s="57">
        <f>IF(BG10=1,Key_Assumptions_BA!BI21,BF9+1)</f>
        <v>43516</v>
      </c>
      <c r="BH8" s="57">
        <f>IF(BH10=1,Key_Assumptions_BA!BJ21,BG9+1)</f>
        <v>43544</v>
      </c>
      <c r="BI8" s="57">
        <f>IF(BI10=1,Key_Assumptions_BA!BK21,BH9+1)</f>
        <v>43575</v>
      </c>
      <c r="BJ8" s="57">
        <f>IF(BJ10=1,Key_Assumptions_BA!BL21,BI9+1)</f>
        <v>43605</v>
      </c>
      <c r="BK8" s="57">
        <f>IF(BK10=1,Key_Assumptions_BA!BM21,BJ9+1)</f>
        <v>43636</v>
      </c>
      <c r="BL8" s="57">
        <f>IF(BL10=1,Key_Assumptions_BA!BN21,BK9+1)</f>
        <v>43666</v>
      </c>
      <c r="BM8" s="57">
        <f>IF(BM10=1,Key_Assumptions_BA!BO21,BL9+1)</f>
        <v>43697</v>
      </c>
      <c r="BN8" s="57">
        <f>IF(BN10=1,Key_Assumptions_BA!BP21,BM9+1)</f>
        <v>43728</v>
      </c>
      <c r="BO8" s="57">
        <f>IF(BO10=1,Key_Assumptions_BA!BQ21,BN9+1)</f>
        <v>43758</v>
      </c>
      <c r="BP8" s="57">
        <f>IF(BP10=1,Key_Assumptions_BA!BR21,BO9+1)</f>
        <v>43789</v>
      </c>
      <c r="BQ8" s="57">
        <f>IF(BQ10=1,Key_Assumptions_BA!BS21,BP9+1)</f>
        <v>43819</v>
      </c>
      <c r="BR8" s="57">
        <f>IF(BR10=1,Key_Assumptions_BA!BT21,BQ9+1)</f>
        <v>43850</v>
      </c>
      <c r="BS8" s="57">
        <f>IF(BS10=1,Key_Assumptions_BA!BU21,BR9+1)</f>
        <v>43881</v>
      </c>
      <c r="BT8" s="57">
        <f>IF(BT10=1,Key_Assumptions_BA!BV21,BS9+1)</f>
        <v>43910</v>
      </c>
      <c r="BU8" s="57">
        <f>IF(BU10=1,Key_Assumptions_BA!BW21,BT9+1)</f>
        <v>43941</v>
      </c>
      <c r="BV8" s="57">
        <f>IF(BV10=1,Key_Assumptions_BA!BX21,BU9+1)</f>
        <v>43971</v>
      </c>
      <c r="BW8" s="57">
        <f>IF(BW10=1,Key_Assumptions_BA!BY21,BV9+1)</f>
        <v>44002</v>
      </c>
      <c r="BX8" s="57">
        <f>IF(BX10=1,Key_Assumptions_BA!BZ21,BW9+1)</f>
        <v>44032</v>
      </c>
      <c r="BY8" s="57">
        <f>IF(BY10=1,Key_Assumptions_BA!CA21,BX9+1)</f>
        <v>44063</v>
      </c>
      <c r="BZ8" s="57">
        <f>IF(BZ10=1,Key_Assumptions_BA!CB21,BY9+1)</f>
        <v>44094</v>
      </c>
      <c r="CA8" s="57">
        <f>IF(CA10=1,Key_Assumptions_BA!CC21,BZ9+1)</f>
        <v>44124</v>
      </c>
      <c r="CB8" s="57">
        <f>IF(CB10=1,Key_Assumptions_BA!CD21,CA9+1)</f>
        <v>44155</v>
      </c>
      <c r="CC8" s="57">
        <f>IF(CC10=1,Key_Assumptions_BA!CE21,CB9+1)</f>
        <v>44185</v>
      </c>
    </row>
    <row r="9" spans="1:81" x14ac:dyDescent="0.2">
      <c r="D9" s="42" t="s">
        <v>64</v>
      </c>
      <c r="H9" s="34"/>
      <c r="J9" s="54">
        <f>EDATE($J$8,J10)</f>
        <v>42054</v>
      </c>
      <c r="K9" s="54">
        <f>EDATE($J$8,K10)</f>
        <v>42082</v>
      </c>
      <c r="L9" s="54">
        <f t="shared" ref="L9:BW9" si="0">EDATE($J$8,L10)</f>
        <v>42113</v>
      </c>
      <c r="M9" s="54">
        <f t="shared" si="0"/>
        <v>42143</v>
      </c>
      <c r="N9" s="54">
        <f t="shared" si="0"/>
        <v>42174</v>
      </c>
      <c r="O9" s="54">
        <f t="shared" si="0"/>
        <v>42204</v>
      </c>
      <c r="P9" s="54">
        <f t="shared" si="0"/>
        <v>42235</v>
      </c>
      <c r="Q9" s="54">
        <f t="shared" si="0"/>
        <v>42266</v>
      </c>
      <c r="R9" s="54">
        <f t="shared" si="0"/>
        <v>42296</v>
      </c>
      <c r="S9" s="54">
        <f t="shared" si="0"/>
        <v>42327</v>
      </c>
      <c r="T9" s="54">
        <f t="shared" si="0"/>
        <v>42357</v>
      </c>
      <c r="U9" s="54">
        <f t="shared" si="0"/>
        <v>42388</v>
      </c>
      <c r="V9" s="54">
        <f t="shared" si="0"/>
        <v>42419</v>
      </c>
      <c r="W9" s="54">
        <f t="shared" si="0"/>
        <v>42448</v>
      </c>
      <c r="X9" s="54">
        <f t="shared" si="0"/>
        <v>42479</v>
      </c>
      <c r="Y9" s="54">
        <f t="shared" si="0"/>
        <v>42509</v>
      </c>
      <c r="Z9" s="54">
        <f t="shared" si="0"/>
        <v>42540</v>
      </c>
      <c r="AA9" s="54">
        <f t="shared" si="0"/>
        <v>42570</v>
      </c>
      <c r="AB9" s="54">
        <f t="shared" si="0"/>
        <v>42601</v>
      </c>
      <c r="AC9" s="54">
        <f t="shared" si="0"/>
        <v>42632</v>
      </c>
      <c r="AD9" s="54">
        <f t="shared" si="0"/>
        <v>42662</v>
      </c>
      <c r="AE9" s="54">
        <f t="shared" si="0"/>
        <v>42693</v>
      </c>
      <c r="AF9" s="54">
        <f t="shared" si="0"/>
        <v>42723</v>
      </c>
      <c r="AG9" s="54">
        <f t="shared" si="0"/>
        <v>42754</v>
      </c>
      <c r="AH9" s="54">
        <f t="shared" si="0"/>
        <v>42785</v>
      </c>
      <c r="AI9" s="54">
        <f t="shared" si="0"/>
        <v>42813</v>
      </c>
      <c r="AJ9" s="54">
        <f t="shared" si="0"/>
        <v>42844</v>
      </c>
      <c r="AK9" s="54">
        <f t="shared" si="0"/>
        <v>42874</v>
      </c>
      <c r="AL9" s="54">
        <f t="shared" si="0"/>
        <v>42905</v>
      </c>
      <c r="AM9" s="54">
        <f t="shared" si="0"/>
        <v>42935</v>
      </c>
      <c r="AN9" s="54">
        <f t="shared" si="0"/>
        <v>42966</v>
      </c>
      <c r="AO9" s="54">
        <f t="shared" si="0"/>
        <v>42997</v>
      </c>
      <c r="AP9" s="54">
        <f t="shared" si="0"/>
        <v>43027</v>
      </c>
      <c r="AQ9" s="54">
        <f t="shared" si="0"/>
        <v>43058</v>
      </c>
      <c r="AR9" s="54">
        <f t="shared" si="0"/>
        <v>43088</v>
      </c>
      <c r="AS9" s="54">
        <f t="shared" si="0"/>
        <v>43119</v>
      </c>
      <c r="AT9" s="54">
        <f t="shared" si="0"/>
        <v>43150</v>
      </c>
      <c r="AU9" s="54">
        <f t="shared" si="0"/>
        <v>43178</v>
      </c>
      <c r="AV9" s="54">
        <f t="shared" si="0"/>
        <v>43209</v>
      </c>
      <c r="AW9" s="54">
        <f t="shared" si="0"/>
        <v>43239</v>
      </c>
      <c r="AX9" s="54">
        <f t="shared" si="0"/>
        <v>43270</v>
      </c>
      <c r="AY9" s="54">
        <f t="shared" si="0"/>
        <v>43300</v>
      </c>
      <c r="AZ9" s="54">
        <f t="shared" si="0"/>
        <v>43331</v>
      </c>
      <c r="BA9" s="54">
        <f t="shared" si="0"/>
        <v>43362</v>
      </c>
      <c r="BB9" s="54">
        <f t="shared" si="0"/>
        <v>43392</v>
      </c>
      <c r="BC9" s="54">
        <f t="shared" si="0"/>
        <v>43423</v>
      </c>
      <c r="BD9" s="54">
        <f t="shared" si="0"/>
        <v>43453</v>
      </c>
      <c r="BE9" s="54">
        <f t="shared" si="0"/>
        <v>43484</v>
      </c>
      <c r="BF9" s="54">
        <f t="shared" si="0"/>
        <v>43515</v>
      </c>
      <c r="BG9" s="54">
        <f t="shared" si="0"/>
        <v>43543</v>
      </c>
      <c r="BH9" s="54">
        <f t="shared" si="0"/>
        <v>43574</v>
      </c>
      <c r="BI9" s="54">
        <f t="shared" si="0"/>
        <v>43604</v>
      </c>
      <c r="BJ9" s="54">
        <f t="shared" si="0"/>
        <v>43635</v>
      </c>
      <c r="BK9" s="54">
        <f t="shared" si="0"/>
        <v>43665</v>
      </c>
      <c r="BL9" s="54">
        <f t="shared" si="0"/>
        <v>43696</v>
      </c>
      <c r="BM9" s="54">
        <f t="shared" si="0"/>
        <v>43727</v>
      </c>
      <c r="BN9" s="54">
        <f t="shared" si="0"/>
        <v>43757</v>
      </c>
      <c r="BO9" s="54">
        <f t="shared" si="0"/>
        <v>43788</v>
      </c>
      <c r="BP9" s="54">
        <f t="shared" si="0"/>
        <v>43818</v>
      </c>
      <c r="BQ9" s="54">
        <f t="shared" si="0"/>
        <v>43849</v>
      </c>
      <c r="BR9" s="54">
        <f t="shared" si="0"/>
        <v>43880</v>
      </c>
      <c r="BS9" s="54">
        <f t="shared" si="0"/>
        <v>43909</v>
      </c>
      <c r="BT9" s="54">
        <f t="shared" si="0"/>
        <v>43940</v>
      </c>
      <c r="BU9" s="54">
        <f t="shared" si="0"/>
        <v>43970</v>
      </c>
      <c r="BV9" s="54">
        <f t="shared" si="0"/>
        <v>44001</v>
      </c>
      <c r="BW9" s="54">
        <f t="shared" si="0"/>
        <v>44031</v>
      </c>
      <c r="BX9" s="54">
        <f t="shared" ref="BX9:CC9" si="1">EDATE($J$8,BX10)</f>
        <v>44062</v>
      </c>
      <c r="BY9" s="54">
        <f t="shared" si="1"/>
        <v>44093</v>
      </c>
      <c r="BZ9" s="54">
        <f t="shared" si="1"/>
        <v>44123</v>
      </c>
      <c r="CA9" s="54">
        <f t="shared" si="1"/>
        <v>44154</v>
      </c>
      <c r="CB9" s="54">
        <f t="shared" si="1"/>
        <v>44184</v>
      </c>
      <c r="CC9" s="54">
        <f t="shared" si="1"/>
        <v>44215</v>
      </c>
    </row>
    <row r="10" spans="1:81" x14ac:dyDescent="0.2">
      <c r="D10" s="42" t="s">
        <v>14</v>
      </c>
      <c r="G10" s="56"/>
      <c r="J10" s="47">
        <f t="shared" ref="J10:AP10" si="2">+I10+1</f>
        <v>1</v>
      </c>
      <c r="K10" s="47">
        <f t="shared" si="2"/>
        <v>2</v>
      </c>
      <c r="L10" s="47">
        <f t="shared" si="2"/>
        <v>3</v>
      </c>
      <c r="M10" s="47">
        <f t="shared" si="2"/>
        <v>4</v>
      </c>
      <c r="N10" s="47">
        <f t="shared" si="2"/>
        <v>5</v>
      </c>
      <c r="O10" s="47">
        <f t="shared" si="2"/>
        <v>6</v>
      </c>
      <c r="P10" s="47">
        <f t="shared" si="2"/>
        <v>7</v>
      </c>
      <c r="Q10" s="47">
        <f t="shared" si="2"/>
        <v>8</v>
      </c>
      <c r="R10" s="47">
        <f t="shared" si="2"/>
        <v>9</v>
      </c>
      <c r="S10" s="47">
        <f t="shared" si="2"/>
        <v>10</v>
      </c>
      <c r="T10" s="47">
        <f t="shared" si="2"/>
        <v>11</v>
      </c>
      <c r="U10" s="47">
        <f t="shared" si="2"/>
        <v>12</v>
      </c>
      <c r="V10" s="47">
        <f t="shared" si="2"/>
        <v>13</v>
      </c>
      <c r="W10" s="47">
        <f t="shared" si="2"/>
        <v>14</v>
      </c>
      <c r="X10" s="47">
        <f t="shared" si="2"/>
        <v>15</v>
      </c>
      <c r="Y10" s="47">
        <f t="shared" si="2"/>
        <v>16</v>
      </c>
      <c r="Z10" s="47">
        <f t="shared" si="2"/>
        <v>17</v>
      </c>
      <c r="AA10" s="47">
        <f t="shared" si="2"/>
        <v>18</v>
      </c>
      <c r="AB10" s="47">
        <f t="shared" si="2"/>
        <v>19</v>
      </c>
      <c r="AC10" s="47">
        <f t="shared" si="2"/>
        <v>20</v>
      </c>
      <c r="AD10" s="47">
        <f t="shared" si="2"/>
        <v>21</v>
      </c>
      <c r="AE10" s="47">
        <f t="shared" si="2"/>
        <v>22</v>
      </c>
      <c r="AF10" s="47">
        <f t="shared" si="2"/>
        <v>23</v>
      </c>
      <c r="AG10" s="47">
        <f t="shared" si="2"/>
        <v>24</v>
      </c>
      <c r="AH10" s="47">
        <f t="shared" si="2"/>
        <v>25</v>
      </c>
      <c r="AI10" s="47">
        <f t="shared" si="2"/>
        <v>26</v>
      </c>
      <c r="AJ10" s="47">
        <f t="shared" si="2"/>
        <v>27</v>
      </c>
      <c r="AK10" s="47">
        <f t="shared" si="2"/>
        <v>28</v>
      </c>
      <c r="AL10" s="47">
        <f t="shared" si="2"/>
        <v>29</v>
      </c>
      <c r="AM10" s="47">
        <f t="shared" si="2"/>
        <v>30</v>
      </c>
      <c r="AN10" s="47">
        <f t="shared" si="2"/>
        <v>31</v>
      </c>
      <c r="AO10" s="47">
        <f t="shared" si="2"/>
        <v>32</v>
      </c>
      <c r="AP10" s="47">
        <f t="shared" si="2"/>
        <v>33</v>
      </c>
      <c r="AQ10" s="47">
        <f t="shared" ref="AQ10:BV10" si="3">+AP10+1</f>
        <v>34</v>
      </c>
      <c r="AR10" s="47">
        <f t="shared" si="3"/>
        <v>35</v>
      </c>
      <c r="AS10" s="47">
        <f t="shared" si="3"/>
        <v>36</v>
      </c>
      <c r="AT10" s="47">
        <f t="shared" si="3"/>
        <v>37</v>
      </c>
      <c r="AU10" s="47">
        <f t="shared" si="3"/>
        <v>38</v>
      </c>
      <c r="AV10" s="47">
        <f t="shared" si="3"/>
        <v>39</v>
      </c>
      <c r="AW10" s="47">
        <f t="shared" si="3"/>
        <v>40</v>
      </c>
      <c r="AX10" s="47">
        <f t="shared" si="3"/>
        <v>41</v>
      </c>
      <c r="AY10" s="47">
        <f t="shared" si="3"/>
        <v>42</v>
      </c>
      <c r="AZ10" s="47">
        <f t="shared" si="3"/>
        <v>43</v>
      </c>
      <c r="BA10" s="47">
        <f t="shared" si="3"/>
        <v>44</v>
      </c>
      <c r="BB10" s="47">
        <f t="shared" si="3"/>
        <v>45</v>
      </c>
      <c r="BC10" s="47">
        <f t="shared" si="3"/>
        <v>46</v>
      </c>
      <c r="BD10" s="47">
        <f t="shared" si="3"/>
        <v>47</v>
      </c>
      <c r="BE10" s="47">
        <f t="shared" si="3"/>
        <v>48</v>
      </c>
      <c r="BF10" s="47">
        <f t="shared" si="3"/>
        <v>49</v>
      </c>
      <c r="BG10" s="47">
        <f t="shared" si="3"/>
        <v>50</v>
      </c>
      <c r="BH10" s="47">
        <f t="shared" si="3"/>
        <v>51</v>
      </c>
      <c r="BI10" s="47">
        <f t="shared" si="3"/>
        <v>52</v>
      </c>
      <c r="BJ10" s="47">
        <f t="shared" si="3"/>
        <v>53</v>
      </c>
      <c r="BK10" s="47">
        <f t="shared" si="3"/>
        <v>54</v>
      </c>
      <c r="BL10" s="47">
        <f t="shared" si="3"/>
        <v>55</v>
      </c>
      <c r="BM10" s="47">
        <f t="shared" si="3"/>
        <v>56</v>
      </c>
      <c r="BN10" s="47">
        <f t="shared" si="3"/>
        <v>57</v>
      </c>
      <c r="BO10" s="47">
        <f t="shared" si="3"/>
        <v>58</v>
      </c>
      <c r="BP10" s="47">
        <f t="shared" si="3"/>
        <v>59</v>
      </c>
      <c r="BQ10" s="47">
        <f t="shared" si="3"/>
        <v>60</v>
      </c>
      <c r="BR10" s="47">
        <f t="shared" si="3"/>
        <v>61</v>
      </c>
      <c r="BS10" s="47">
        <f t="shared" si="3"/>
        <v>62</v>
      </c>
      <c r="BT10" s="47">
        <f t="shared" si="3"/>
        <v>63</v>
      </c>
      <c r="BU10" s="47">
        <f t="shared" si="3"/>
        <v>64</v>
      </c>
      <c r="BV10" s="47">
        <f t="shared" si="3"/>
        <v>65</v>
      </c>
      <c r="BW10" s="47">
        <f t="shared" ref="BW10:CC10" si="4">+BV10+1</f>
        <v>66</v>
      </c>
      <c r="BX10" s="47">
        <f t="shared" si="4"/>
        <v>67</v>
      </c>
      <c r="BY10" s="47">
        <f t="shared" si="4"/>
        <v>68</v>
      </c>
      <c r="BZ10" s="47">
        <f t="shared" si="4"/>
        <v>69</v>
      </c>
      <c r="CA10" s="47">
        <f t="shared" si="4"/>
        <v>70</v>
      </c>
      <c r="CB10" s="47">
        <f t="shared" si="4"/>
        <v>71</v>
      </c>
      <c r="CC10" s="47">
        <f t="shared" si="4"/>
        <v>72</v>
      </c>
    </row>
    <row r="11" spans="1:81" x14ac:dyDescent="0.2">
      <c r="D11" s="42" t="s">
        <v>65</v>
      </c>
      <c r="G11" s="56"/>
      <c r="J11" s="58">
        <f t="shared" ref="J11:AO11" si="5">WORKDAY(J9-1,1,CA_holidays)</f>
        <v>42054</v>
      </c>
      <c r="K11" s="58">
        <f t="shared" si="5"/>
        <v>42082</v>
      </c>
      <c r="L11" s="58">
        <f t="shared" si="5"/>
        <v>42114</v>
      </c>
      <c r="M11" s="58">
        <f t="shared" si="5"/>
        <v>42143</v>
      </c>
      <c r="N11" s="58">
        <f t="shared" si="5"/>
        <v>42174</v>
      </c>
      <c r="O11" s="58">
        <f t="shared" si="5"/>
        <v>42205</v>
      </c>
      <c r="P11" s="58">
        <f t="shared" si="5"/>
        <v>42235</v>
      </c>
      <c r="Q11" s="58">
        <f t="shared" si="5"/>
        <v>42268</v>
      </c>
      <c r="R11" s="58">
        <f t="shared" si="5"/>
        <v>42296</v>
      </c>
      <c r="S11" s="58">
        <f t="shared" si="5"/>
        <v>42327</v>
      </c>
      <c r="T11" s="58">
        <f t="shared" si="5"/>
        <v>42359</v>
      </c>
      <c r="U11" s="58">
        <f t="shared" si="5"/>
        <v>42388</v>
      </c>
      <c r="V11" s="58">
        <f t="shared" si="5"/>
        <v>42419</v>
      </c>
      <c r="W11" s="58">
        <f t="shared" si="5"/>
        <v>42450</v>
      </c>
      <c r="X11" s="58">
        <f t="shared" si="5"/>
        <v>42479</v>
      </c>
      <c r="Y11" s="58">
        <f t="shared" si="5"/>
        <v>42509</v>
      </c>
      <c r="Z11" s="58">
        <f t="shared" si="5"/>
        <v>42541</v>
      </c>
      <c r="AA11" s="58">
        <f t="shared" si="5"/>
        <v>42570</v>
      </c>
      <c r="AB11" s="58">
        <f t="shared" si="5"/>
        <v>42601</v>
      </c>
      <c r="AC11" s="58">
        <f t="shared" si="5"/>
        <v>42632</v>
      </c>
      <c r="AD11" s="58">
        <f t="shared" si="5"/>
        <v>42662</v>
      </c>
      <c r="AE11" s="58">
        <f t="shared" si="5"/>
        <v>42695</v>
      </c>
      <c r="AF11" s="58">
        <f t="shared" si="5"/>
        <v>42723</v>
      </c>
      <c r="AG11" s="58">
        <f t="shared" si="5"/>
        <v>42754</v>
      </c>
      <c r="AH11" s="58">
        <f t="shared" si="5"/>
        <v>42786</v>
      </c>
      <c r="AI11" s="58">
        <f t="shared" si="5"/>
        <v>42814</v>
      </c>
      <c r="AJ11" s="58">
        <f t="shared" si="5"/>
        <v>42844</v>
      </c>
      <c r="AK11" s="58">
        <f t="shared" si="5"/>
        <v>42874</v>
      </c>
      <c r="AL11" s="58">
        <f t="shared" si="5"/>
        <v>42905</v>
      </c>
      <c r="AM11" s="58">
        <f t="shared" si="5"/>
        <v>42935</v>
      </c>
      <c r="AN11" s="58">
        <f t="shared" si="5"/>
        <v>42968</v>
      </c>
      <c r="AO11" s="58">
        <f t="shared" si="5"/>
        <v>42997</v>
      </c>
      <c r="AP11" s="58">
        <f t="shared" ref="AP11:BU11" si="6">WORKDAY(AP9-1,1,CA_holidays)</f>
        <v>43027</v>
      </c>
      <c r="AQ11" s="58">
        <f t="shared" si="6"/>
        <v>43059</v>
      </c>
      <c r="AR11" s="58">
        <f t="shared" si="6"/>
        <v>43088</v>
      </c>
      <c r="AS11" s="58">
        <f t="shared" si="6"/>
        <v>43119</v>
      </c>
      <c r="AT11" s="58">
        <f t="shared" si="6"/>
        <v>43150</v>
      </c>
      <c r="AU11" s="58">
        <f t="shared" si="6"/>
        <v>43178</v>
      </c>
      <c r="AV11" s="58">
        <f t="shared" si="6"/>
        <v>43209</v>
      </c>
      <c r="AW11" s="58">
        <f t="shared" si="6"/>
        <v>43241</v>
      </c>
      <c r="AX11" s="58">
        <f t="shared" si="6"/>
        <v>43270</v>
      </c>
      <c r="AY11" s="58">
        <f t="shared" si="6"/>
        <v>43300</v>
      </c>
      <c r="AZ11" s="58">
        <f t="shared" si="6"/>
        <v>43332</v>
      </c>
      <c r="BA11" s="58">
        <f t="shared" si="6"/>
        <v>43362</v>
      </c>
      <c r="BB11" s="58">
        <f t="shared" si="6"/>
        <v>43395</v>
      </c>
      <c r="BC11" s="58">
        <f t="shared" si="6"/>
        <v>43423</v>
      </c>
      <c r="BD11" s="58">
        <f t="shared" si="6"/>
        <v>43453</v>
      </c>
      <c r="BE11" s="58">
        <f t="shared" si="6"/>
        <v>43486</v>
      </c>
      <c r="BF11" s="58">
        <f t="shared" si="6"/>
        <v>43515</v>
      </c>
      <c r="BG11" s="58">
        <f t="shared" si="6"/>
        <v>43543</v>
      </c>
      <c r="BH11" s="58">
        <f t="shared" si="6"/>
        <v>43578</v>
      </c>
      <c r="BI11" s="58">
        <f t="shared" si="6"/>
        <v>43605</v>
      </c>
      <c r="BJ11" s="58">
        <f t="shared" si="6"/>
        <v>43635</v>
      </c>
      <c r="BK11" s="58">
        <f t="shared" si="6"/>
        <v>43665</v>
      </c>
      <c r="BL11" s="58">
        <f t="shared" si="6"/>
        <v>43696</v>
      </c>
      <c r="BM11" s="58">
        <f t="shared" si="6"/>
        <v>43727</v>
      </c>
      <c r="BN11" s="58">
        <f t="shared" si="6"/>
        <v>43759</v>
      </c>
      <c r="BO11" s="58">
        <f t="shared" si="6"/>
        <v>43788</v>
      </c>
      <c r="BP11" s="58">
        <f t="shared" si="6"/>
        <v>43818</v>
      </c>
      <c r="BQ11" s="58">
        <f t="shared" si="6"/>
        <v>43850</v>
      </c>
      <c r="BR11" s="58">
        <f t="shared" si="6"/>
        <v>43880</v>
      </c>
      <c r="BS11" s="58">
        <f t="shared" si="6"/>
        <v>43909</v>
      </c>
      <c r="BT11" s="58">
        <f t="shared" si="6"/>
        <v>43941</v>
      </c>
      <c r="BU11" s="58">
        <f t="shared" si="6"/>
        <v>43970</v>
      </c>
      <c r="BV11" s="58">
        <f t="shared" ref="BV11:CC11" si="7">WORKDAY(BV9-1,1,CA_holidays)</f>
        <v>44001</v>
      </c>
      <c r="BW11" s="58">
        <f t="shared" si="7"/>
        <v>44032</v>
      </c>
      <c r="BX11" s="58">
        <f t="shared" si="7"/>
        <v>44062</v>
      </c>
      <c r="BY11" s="58">
        <f t="shared" si="7"/>
        <v>44095</v>
      </c>
      <c r="BZ11" s="58">
        <f t="shared" si="7"/>
        <v>44124</v>
      </c>
      <c r="CA11" s="58">
        <f t="shared" si="7"/>
        <v>44154</v>
      </c>
      <c r="CB11" s="58">
        <f t="shared" si="7"/>
        <v>44186</v>
      </c>
      <c r="CC11" s="58">
        <f t="shared" si="7"/>
        <v>44215</v>
      </c>
    </row>
    <row r="12" spans="1:81" x14ac:dyDescent="0.2">
      <c r="D12" s="42" t="s">
        <v>66</v>
      </c>
      <c r="G12" s="56"/>
      <c r="J12" s="54">
        <f t="shared" ref="J12:AO12" si="8">WORKDAY(J9,-1,CA_holidays)</f>
        <v>42053</v>
      </c>
      <c r="K12" s="54">
        <f t="shared" si="8"/>
        <v>42081</v>
      </c>
      <c r="L12" s="54">
        <f t="shared" si="8"/>
        <v>42111</v>
      </c>
      <c r="M12" s="54">
        <f t="shared" si="8"/>
        <v>42142</v>
      </c>
      <c r="N12" s="54">
        <f t="shared" si="8"/>
        <v>42173</v>
      </c>
      <c r="O12" s="54">
        <f t="shared" si="8"/>
        <v>42202</v>
      </c>
      <c r="P12" s="54">
        <f t="shared" si="8"/>
        <v>42234</v>
      </c>
      <c r="Q12" s="54">
        <f t="shared" si="8"/>
        <v>42265</v>
      </c>
      <c r="R12" s="54">
        <f t="shared" si="8"/>
        <v>42293</v>
      </c>
      <c r="S12" s="54">
        <f t="shared" si="8"/>
        <v>42326</v>
      </c>
      <c r="T12" s="54">
        <f t="shared" si="8"/>
        <v>42356</v>
      </c>
      <c r="U12" s="54">
        <f t="shared" si="8"/>
        <v>42387</v>
      </c>
      <c r="V12" s="54">
        <f t="shared" si="8"/>
        <v>42418</v>
      </c>
      <c r="W12" s="54">
        <f t="shared" si="8"/>
        <v>42447</v>
      </c>
      <c r="X12" s="54">
        <f t="shared" si="8"/>
        <v>42478</v>
      </c>
      <c r="Y12" s="54">
        <f t="shared" si="8"/>
        <v>42508</v>
      </c>
      <c r="Z12" s="54">
        <f t="shared" si="8"/>
        <v>42538</v>
      </c>
      <c r="AA12" s="54">
        <f t="shared" si="8"/>
        <v>42569</v>
      </c>
      <c r="AB12" s="54">
        <f t="shared" si="8"/>
        <v>42600</v>
      </c>
      <c r="AC12" s="54">
        <f t="shared" si="8"/>
        <v>42629</v>
      </c>
      <c r="AD12" s="54">
        <f t="shared" si="8"/>
        <v>42661</v>
      </c>
      <c r="AE12" s="54">
        <f t="shared" si="8"/>
        <v>42692</v>
      </c>
      <c r="AF12" s="54">
        <f t="shared" si="8"/>
        <v>42720</v>
      </c>
      <c r="AG12" s="54">
        <f t="shared" si="8"/>
        <v>42753</v>
      </c>
      <c r="AH12" s="54">
        <f t="shared" si="8"/>
        <v>42783</v>
      </c>
      <c r="AI12" s="54">
        <f t="shared" si="8"/>
        <v>42811</v>
      </c>
      <c r="AJ12" s="54">
        <f t="shared" si="8"/>
        <v>42843</v>
      </c>
      <c r="AK12" s="54">
        <f t="shared" si="8"/>
        <v>42873</v>
      </c>
      <c r="AL12" s="54">
        <f t="shared" si="8"/>
        <v>42902</v>
      </c>
      <c r="AM12" s="54">
        <f t="shared" si="8"/>
        <v>42934</v>
      </c>
      <c r="AN12" s="54">
        <f t="shared" si="8"/>
        <v>42965</v>
      </c>
      <c r="AO12" s="54">
        <f t="shared" si="8"/>
        <v>42996</v>
      </c>
      <c r="AP12" s="54">
        <f t="shared" ref="AP12:BU12" si="9">WORKDAY(AP9,-1,CA_holidays)</f>
        <v>43026</v>
      </c>
      <c r="AQ12" s="54">
        <f t="shared" si="9"/>
        <v>43056</v>
      </c>
      <c r="AR12" s="54">
        <f t="shared" si="9"/>
        <v>43087</v>
      </c>
      <c r="AS12" s="54">
        <f t="shared" si="9"/>
        <v>43118</v>
      </c>
      <c r="AT12" s="54">
        <f t="shared" si="9"/>
        <v>43147</v>
      </c>
      <c r="AU12" s="54">
        <f t="shared" si="9"/>
        <v>43175</v>
      </c>
      <c r="AV12" s="54">
        <f t="shared" si="9"/>
        <v>43208</v>
      </c>
      <c r="AW12" s="54">
        <f t="shared" si="9"/>
        <v>43238</v>
      </c>
      <c r="AX12" s="54">
        <f t="shared" si="9"/>
        <v>43269</v>
      </c>
      <c r="AY12" s="54">
        <f t="shared" si="9"/>
        <v>43299</v>
      </c>
      <c r="AZ12" s="54">
        <f t="shared" si="9"/>
        <v>43329</v>
      </c>
      <c r="BA12" s="54">
        <f t="shared" si="9"/>
        <v>43361</v>
      </c>
      <c r="BB12" s="54">
        <f t="shared" si="9"/>
        <v>43391</v>
      </c>
      <c r="BC12" s="54">
        <f t="shared" si="9"/>
        <v>43420</v>
      </c>
      <c r="BD12" s="54">
        <f t="shared" si="9"/>
        <v>43452</v>
      </c>
      <c r="BE12" s="54">
        <f t="shared" si="9"/>
        <v>43483</v>
      </c>
      <c r="BF12" s="54">
        <f t="shared" si="9"/>
        <v>43514</v>
      </c>
      <c r="BG12" s="54">
        <f t="shared" si="9"/>
        <v>43542</v>
      </c>
      <c r="BH12" s="54">
        <f t="shared" si="9"/>
        <v>43573</v>
      </c>
      <c r="BI12" s="54">
        <f t="shared" si="9"/>
        <v>43602</v>
      </c>
      <c r="BJ12" s="54">
        <f t="shared" si="9"/>
        <v>43634</v>
      </c>
      <c r="BK12" s="54">
        <f t="shared" si="9"/>
        <v>43664</v>
      </c>
      <c r="BL12" s="54">
        <f t="shared" si="9"/>
        <v>43693</v>
      </c>
      <c r="BM12" s="54">
        <f t="shared" si="9"/>
        <v>43726</v>
      </c>
      <c r="BN12" s="54">
        <f t="shared" si="9"/>
        <v>43756</v>
      </c>
      <c r="BO12" s="54">
        <f t="shared" si="9"/>
        <v>43787</v>
      </c>
      <c r="BP12" s="54">
        <f t="shared" si="9"/>
        <v>43817</v>
      </c>
      <c r="BQ12" s="54">
        <f t="shared" si="9"/>
        <v>43847</v>
      </c>
      <c r="BR12" s="54">
        <f t="shared" si="9"/>
        <v>43879</v>
      </c>
      <c r="BS12" s="54">
        <f t="shared" si="9"/>
        <v>43908</v>
      </c>
      <c r="BT12" s="54">
        <f t="shared" si="9"/>
        <v>43938</v>
      </c>
      <c r="BU12" s="54">
        <f t="shared" si="9"/>
        <v>43969</v>
      </c>
      <c r="BV12" s="54">
        <f t="shared" ref="BV12:CC12" si="10">WORKDAY(BV9,-1,CA_holidays)</f>
        <v>44000</v>
      </c>
      <c r="BW12" s="54">
        <f t="shared" si="10"/>
        <v>44029</v>
      </c>
      <c r="BX12" s="54">
        <f t="shared" si="10"/>
        <v>44061</v>
      </c>
      <c r="BY12" s="54">
        <f t="shared" si="10"/>
        <v>44092</v>
      </c>
      <c r="BZ12" s="54">
        <f t="shared" si="10"/>
        <v>44120</v>
      </c>
      <c r="CA12" s="54">
        <f t="shared" si="10"/>
        <v>44153</v>
      </c>
      <c r="CB12" s="54">
        <f t="shared" si="10"/>
        <v>44183</v>
      </c>
      <c r="CC12" s="54">
        <f t="shared" si="10"/>
        <v>44214</v>
      </c>
    </row>
    <row r="13" spans="1:81" x14ac:dyDescent="0.2">
      <c r="D13" s="42" t="s">
        <v>67</v>
      </c>
      <c r="H13" s="59"/>
      <c r="J13" s="54">
        <f t="shared" ref="J13:AO13" si="11">IF(MONTH(J11)=MONTH(J9),J11,J12)</f>
        <v>42054</v>
      </c>
      <c r="K13" s="54">
        <f t="shared" si="11"/>
        <v>42082</v>
      </c>
      <c r="L13" s="54">
        <f t="shared" si="11"/>
        <v>42114</v>
      </c>
      <c r="M13" s="54">
        <f t="shared" si="11"/>
        <v>42143</v>
      </c>
      <c r="N13" s="54">
        <f t="shared" si="11"/>
        <v>42174</v>
      </c>
      <c r="O13" s="54">
        <f t="shared" si="11"/>
        <v>42205</v>
      </c>
      <c r="P13" s="54">
        <f t="shared" si="11"/>
        <v>42235</v>
      </c>
      <c r="Q13" s="54">
        <f t="shared" si="11"/>
        <v>42268</v>
      </c>
      <c r="R13" s="54">
        <f t="shared" si="11"/>
        <v>42296</v>
      </c>
      <c r="S13" s="54">
        <f t="shared" si="11"/>
        <v>42327</v>
      </c>
      <c r="T13" s="54">
        <f t="shared" si="11"/>
        <v>42359</v>
      </c>
      <c r="U13" s="54">
        <f t="shared" si="11"/>
        <v>42388</v>
      </c>
      <c r="V13" s="54">
        <f t="shared" si="11"/>
        <v>42419</v>
      </c>
      <c r="W13" s="54">
        <f t="shared" si="11"/>
        <v>42450</v>
      </c>
      <c r="X13" s="54">
        <f t="shared" si="11"/>
        <v>42479</v>
      </c>
      <c r="Y13" s="54">
        <f t="shared" si="11"/>
        <v>42509</v>
      </c>
      <c r="Z13" s="54">
        <f t="shared" si="11"/>
        <v>42541</v>
      </c>
      <c r="AA13" s="54">
        <f t="shared" si="11"/>
        <v>42570</v>
      </c>
      <c r="AB13" s="54">
        <f t="shared" si="11"/>
        <v>42601</v>
      </c>
      <c r="AC13" s="54">
        <f t="shared" si="11"/>
        <v>42632</v>
      </c>
      <c r="AD13" s="54">
        <f t="shared" si="11"/>
        <v>42662</v>
      </c>
      <c r="AE13" s="54">
        <f t="shared" si="11"/>
        <v>42695</v>
      </c>
      <c r="AF13" s="54">
        <f t="shared" si="11"/>
        <v>42723</v>
      </c>
      <c r="AG13" s="54">
        <f t="shared" si="11"/>
        <v>42754</v>
      </c>
      <c r="AH13" s="54">
        <f t="shared" si="11"/>
        <v>42786</v>
      </c>
      <c r="AI13" s="54">
        <f t="shared" si="11"/>
        <v>42814</v>
      </c>
      <c r="AJ13" s="54">
        <f t="shared" si="11"/>
        <v>42844</v>
      </c>
      <c r="AK13" s="54">
        <f t="shared" si="11"/>
        <v>42874</v>
      </c>
      <c r="AL13" s="54">
        <f t="shared" si="11"/>
        <v>42905</v>
      </c>
      <c r="AM13" s="54">
        <f t="shared" si="11"/>
        <v>42935</v>
      </c>
      <c r="AN13" s="54">
        <f t="shared" si="11"/>
        <v>42968</v>
      </c>
      <c r="AO13" s="54">
        <f t="shared" si="11"/>
        <v>42997</v>
      </c>
      <c r="AP13" s="54">
        <f t="shared" ref="AP13:BU13" si="12">IF(MONTH(AP11)=MONTH(AP9),AP11,AP12)</f>
        <v>43027</v>
      </c>
      <c r="AQ13" s="54">
        <f t="shared" si="12"/>
        <v>43059</v>
      </c>
      <c r="AR13" s="54">
        <f t="shared" si="12"/>
        <v>43088</v>
      </c>
      <c r="AS13" s="54">
        <f t="shared" si="12"/>
        <v>43119</v>
      </c>
      <c r="AT13" s="54">
        <f t="shared" si="12"/>
        <v>43150</v>
      </c>
      <c r="AU13" s="54">
        <f t="shared" si="12"/>
        <v>43178</v>
      </c>
      <c r="AV13" s="54">
        <f t="shared" si="12"/>
        <v>43209</v>
      </c>
      <c r="AW13" s="54">
        <f t="shared" si="12"/>
        <v>43241</v>
      </c>
      <c r="AX13" s="54">
        <f t="shared" si="12"/>
        <v>43270</v>
      </c>
      <c r="AY13" s="54">
        <f t="shared" si="12"/>
        <v>43300</v>
      </c>
      <c r="AZ13" s="54">
        <f t="shared" si="12"/>
        <v>43332</v>
      </c>
      <c r="BA13" s="54">
        <f t="shared" si="12"/>
        <v>43362</v>
      </c>
      <c r="BB13" s="54">
        <f t="shared" si="12"/>
        <v>43395</v>
      </c>
      <c r="BC13" s="54">
        <f t="shared" si="12"/>
        <v>43423</v>
      </c>
      <c r="BD13" s="54">
        <f t="shared" si="12"/>
        <v>43453</v>
      </c>
      <c r="BE13" s="54">
        <f t="shared" si="12"/>
        <v>43486</v>
      </c>
      <c r="BF13" s="54">
        <f t="shared" si="12"/>
        <v>43515</v>
      </c>
      <c r="BG13" s="54">
        <f t="shared" si="12"/>
        <v>43543</v>
      </c>
      <c r="BH13" s="54">
        <f t="shared" si="12"/>
        <v>43578</v>
      </c>
      <c r="BI13" s="54">
        <f t="shared" si="12"/>
        <v>43605</v>
      </c>
      <c r="BJ13" s="54">
        <f t="shared" si="12"/>
        <v>43635</v>
      </c>
      <c r="BK13" s="54">
        <f t="shared" si="12"/>
        <v>43665</v>
      </c>
      <c r="BL13" s="54">
        <f t="shared" si="12"/>
        <v>43696</v>
      </c>
      <c r="BM13" s="54">
        <f t="shared" si="12"/>
        <v>43727</v>
      </c>
      <c r="BN13" s="54">
        <f t="shared" si="12"/>
        <v>43759</v>
      </c>
      <c r="BO13" s="54">
        <f t="shared" si="12"/>
        <v>43788</v>
      </c>
      <c r="BP13" s="54">
        <f t="shared" si="12"/>
        <v>43818</v>
      </c>
      <c r="BQ13" s="54">
        <f t="shared" si="12"/>
        <v>43850</v>
      </c>
      <c r="BR13" s="54">
        <f t="shared" si="12"/>
        <v>43880</v>
      </c>
      <c r="BS13" s="54">
        <f t="shared" si="12"/>
        <v>43909</v>
      </c>
      <c r="BT13" s="54">
        <f t="shared" si="12"/>
        <v>43941</v>
      </c>
      <c r="BU13" s="54">
        <f t="shared" si="12"/>
        <v>43970</v>
      </c>
      <c r="BV13" s="54">
        <f t="shared" ref="BV13:CC13" si="13">IF(MONTH(BV11)=MONTH(BV9),BV11,BV12)</f>
        <v>44001</v>
      </c>
      <c r="BW13" s="54">
        <f t="shared" si="13"/>
        <v>44032</v>
      </c>
      <c r="BX13" s="54">
        <f t="shared" si="13"/>
        <v>44062</v>
      </c>
      <c r="BY13" s="54">
        <f t="shared" si="13"/>
        <v>44095</v>
      </c>
      <c r="BZ13" s="54">
        <f t="shared" si="13"/>
        <v>44124</v>
      </c>
      <c r="CA13" s="54">
        <f t="shared" si="13"/>
        <v>44154</v>
      </c>
      <c r="CB13" s="54">
        <f t="shared" si="13"/>
        <v>44186</v>
      </c>
      <c r="CC13" s="54">
        <f t="shared" si="13"/>
        <v>44215</v>
      </c>
    </row>
    <row r="14" spans="1:81" x14ac:dyDescent="0.2">
      <c r="D14" s="42" t="s">
        <v>15</v>
      </c>
      <c r="G14" s="59"/>
      <c r="J14" s="60">
        <f>IF(J10=1,$J$13-$J$8,J13-I13)</f>
        <v>31</v>
      </c>
      <c r="K14" s="60">
        <f t="shared" ref="K14:BV14" si="14">IF(K10=1,$J$13-$J$8,K13-J13)</f>
        <v>28</v>
      </c>
      <c r="L14" s="60">
        <f t="shared" si="14"/>
        <v>32</v>
      </c>
      <c r="M14" s="60">
        <f t="shared" si="14"/>
        <v>29</v>
      </c>
      <c r="N14" s="60">
        <f t="shared" si="14"/>
        <v>31</v>
      </c>
      <c r="O14" s="60">
        <f t="shared" si="14"/>
        <v>31</v>
      </c>
      <c r="P14" s="60">
        <f t="shared" si="14"/>
        <v>30</v>
      </c>
      <c r="Q14" s="60">
        <f t="shared" si="14"/>
        <v>33</v>
      </c>
      <c r="R14" s="60">
        <f t="shared" si="14"/>
        <v>28</v>
      </c>
      <c r="S14" s="60">
        <f t="shared" si="14"/>
        <v>31</v>
      </c>
      <c r="T14" s="60">
        <f t="shared" si="14"/>
        <v>32</v>
      </c>
      <c r="U14" s="60">
        <f t="shared" si="14"/>
        <v>29</v>
      </c>
      <c r="V14" s="60">
        <f t="shared" si="14"/>
        <v>31</v>
      </c>
      <c r="W14" s="60">
        <f t="shared" si="14"/>
        <v>31</v>
      </c>
      <c r="X14" s="60">
        <f t="shared" si="14"/>
        <v>29</v>
      </c>
      <c r="Y14" s="60">
        <f t="shared" si="14"/>
        <v>30</v>
      </c>
      <c r="Z14" s="60">
        <f t="shared" si="14"/>
        <v>32</v>
      </c>
      <c r="AA14" s="60">
        <f t="shared" si="14"/>
        <v>29</v>
      </c>
      <c r="AB14" s="60">
        <f t="shared" si="14"/>
        <v>31</v>
      </c>
      <c r="AC14" s="60">
        <f t="shared" si="14"/>
        <v>31</v>
      </c>
      <c r="AD14" s="60">
        <f t="shared" si="14"/>
        <v>30</v>
      </c>
      <c r="AE14" s="60">
        <f t="shared" si="14"/>
        <v>33</v>
      </c>
      <c r="AF14" s="60">
        <f t="shared" si="14"/>
        <v>28</v>
      </c>
      <c r="AG14" s="60">
        <f t="shared" si="14"/>
        <v>31</v>
      </c>
      <c r="AH14" s="60">
        <f t="shared" si="14"/>
        <v>32</v>
      </c>
      <c r="AI14" s="60">
        <f t="shared" si="14"/>
        <v>28</v>
      </c>
      <c r="AJ14" s="60">
        <f t="shared" si="14"/>
        <v>30</v>
      </c>
      <c r="AK14" s="60">
        <f t="shared" si="14"/>
        <v>30</v>
      </c>
      <c r="AL14" s="60">
        <f t="shared" si="14"/>
        <v>31</v>
      </c>
      <c r="AM14" s="60">
        <f t="shared" si="14"/>
        <v>30</v>
      </c>
      <c r="AN14" s="60">
        <f t="shared" si="14"/>
        <v>33</v>
      </c>
      <c r="AO14" s="60">
        <f t="shared" si="14"/>
        <v>29</v>
      </c>
      <c r="AP14" s="60">
        <f t="shared" si="14"/>
        <v>30</v>
      </c>
      <c r="AQ14" s="60">
        <f t="shared" si="14"/>
        <v>32</v>
      </c>
      <c r="AR14" s="60">
        <f t="shared" si="14"/>
        <v>29</v>
      </c>
      <c r="AS14" s="60">
        <f t="shared" si="14"/>
        <v>31</v>
      </c>
      <c r="AT14" s="60">
        <f t="shared" si="14"/>
        <v>31</v>
      </c>
      <c r="AU14" s="60">
        <f t="shared" si="14"/>
        <v>28</v>
      </c>
      <c r="AV14" s="60">
        <f t="shared" si="14"/>
        <v>31</v>
      </c>
      <c r="AW14" s="60">
        <f t="shared" si="14"/>
        <v>32</v>
      </c>
      <c r="AX14" s="60">
        <f t="shared" si="14"/>
        <v>29</v>
      </c>
      <c r="AY14" s="60">
        <f t="shared" si="14"/>
        <v>30</v>
      </c>
      <c r="AZ14" s="60">
        <f t="shared" si="14"/>
        <v>32</v>
      </c>
      <c r="BA14" s="60">
        <f t="shared" si="14"/>
        <v>30</v>
      </c>
      <c r="BB14" s="60">
        <f t="shared" si="14"/>
        <v>33</v>
      </c>
      <c r="BC14" s="60">
        <f t="shared" si="14"/>
        <v>28</v>
      </c>
      <c r="BD14" s="60">
        <f t="shared" si="14"/>
        <v>30</v>
      </c>
      <c r="BE14" s="60">
        <f t="shared" si="14"/>
        <v>33</v>
      </c>
      <c r="BF14" s="60">
        <f t="shared" si="14"/>
        <v>29</v>
      </c>
      <c r="BG14" s="60">
        <f t="shared" si="14"/>
        <v>28</v>
      </c>
      <c r="BH14" s="60">
        <f t="shared" si="14"/>
        <v>35</v>
      </c>
      <c r="BI14" s="60">
        <f t="shared" si="14"/>
        <v>27</v>
      </c>
      <c r="BJ14" s="60">
        <f t="shared" si="14"/>
        <v>30</v>
      </c>
      <c r="BK14" s="60">
        <f t="shared" si="14"/>
        <v>30</v>
      </c>
      <c r="BL14" s="60">
        <f t="shared" si="14"/>
        <v>31</v>
      </c>
      <c r="BM14" s="60">
        <f t="shared" si="14"/>
        <v>31</v>
      </c>
      <c r="BN14" s="60">
        <f t="shared" si="14"/>
        <v>32</v>
      </c>
      <c r="BO14" s="60">
        <f t="shared" si="14"/>
        <v>29</v>
      </c>
      <c r="BP14" s="60">
        <f t="shared" si="14"/>
        <v>30</v>
      </c>
      <c r="BQ14" s="60">
        <f t="shared" si="14"/>
        <v>32</v>
      </c>
      <c r="BR14" s="60">
        <f t="shared" si="14"/>
        <v>30</v>
      </c>
      <c r="BS14" s="60">
        <f t="shared" si="14"/>
        <v>29</v>
      </c>
      <c r="BT14" s="60">
        <f t="shared" si="14"/>
        <v>32</v>
      </c>
      <c r="BU14" s="60">
        <f t="shared" si="14"/>
        <v>29</v>
      </c>
      <c r="BV14" s="60">
        <f t="shared" si="14"/>
        <v>31</v>
      </c>
      <c r="BW14" s="60">
        <f t="shared" ref="BW14:CC14" si="15">IF(BW10=1,$J$13-$J$8,BW13-BV13)</f>
        <v>31</v>
      </c>
      <c r="BX14" s="60">
        <f t="shared" si="15"/>
        <v>30</v>
      </c>
      <c r="BY14" s="60">
        <f t="shared" si="15"/>
        <v>33</v>
      </c>
      <c r="BZ14" s="60">
        <f t="shared" si="15"/>
        <v>29</v>
      </c>
      <c r="CA14" s="60">
        <f t="shared" si="15"/>
        <v>30</v>
      </c>
      <c r="CB14" s="60">
        <f t="shared" si="15"/>
        <v>32</v>
      </c>
      <c r="CC14" s="60">
        <f t="shared" si="15"/>
        <v>29</v>
      </c>
    </row>
    <row r="15" spans="1:81" x14ac:dyDescent="0.2">
      <c r="G15" s="56"/>
    </row>
    <row r="16" spans="1:81" ht="12.5" x14ac:dyDescent="0.2">
      <c r="C16" s="39" t="s">
        <v>69</v>
      </c>
      <c r="G16" s="56"/>
    </row>
    <row r="17" spans="3:81" x14ac:dyDescent="0.2">
      <c r="D17" s="44" t="str">
        <f>D9</f>
        <v>Period end date (PED)</v>
      </c>
      <c r="G17" s="56"/>
      <c r="J17" s="61">
        <f t="shared" ref="J17:AO17" si="16">J9</f>
        <v>42054</v>
      </c>
      <c r="K17" s="61">
        <f t="shared" si="16"/>
        <v>42082</v>
      </c>
      <c r="L17" s="61">
        <f t="shared" si="16"/>
        <v>42113</v>
      </c>
      <c r="M17" s="61">
        <f t="shared" si="16"/>
        <v>42143</v>
      </c>
      <c r="N17" s="61">
        <f t="shared" si="16"/>
        <v>42174</v>
      </c>
      <c r="O17" s="61">
        <f t="shared" si="16"/>
        <v>42204</v>
      </c>
      <c r="P17" s="61">
        <f t="shared" si="16"/>
        <v>42235</v>
      </c>
      <c r="Q17" s="61">
        <f t="shared" si="16"/>
        <v>42266</v>
      </c>
      <c r="R17" s="61">
        <f t="shared" si="16"/>
        <v>42296</v>
      </c>
      <c r="S17" s="61">
        <f t="shared" si="16"/>
        <v>42327</v>
      </c>
      <c r="T17" s="61">
        <f t="shared" si="16"/>
        <v>42357</v>
      </c>
      <c r="U17" s="61">
        <f t="shared" si="16"/>
        <v>42388</v>
      </c>
      <c r="V17" s="61">
        <f t="shared" si="16"/>
        <v>42419</v>
      </c>
      <c r="W17" s="61">
        <f t="shared" si="16"/>
        <v>42448</v>
      </c>
      <c r="X17" s="61">
        <f t="shared" si="16"/>
        <v>42479</v>
      </c>
      <c r="Y17" s="61">
        <f t="shared" si="16"/>
        <v>42509</v>
      </c>
      <c r="Z17" s="61">
        <f t="shared" si="16"/>
        <v>42540</v>
      </c>
      <c r="AA17" s="61">
        <f t="shared" si="16"/>
        <v>42570</v>
      </c>
      <c r="AB17" s="61">
        <f t="shared" si="16"/>
        <v>42601</v>
      </c>
      <c r="AC17" s="61">
        <f t="shared" si="16"/>
        <v>42632</v>
      </c>
      <c r="AD17" s="61">
        <f t="shared" si="16"/>
        <v>42662</v>
      </c>
      <c r="AE17" s="61">
        <f t="shared" si="16"/>
        <v>42693</v>
      </c>
      <c r="AF17" s="61">
        <f t="shared" si="16"/>
        <v>42723</v>
      </c>
      <c r="AG17" s="61">
        <f t="shared" si="16"/>
        <v>42754</v>
      </c>
      <c r="AH17" s="61">
        <f t="shared" si="16"/>
        <v>42785</v>
      </c>
      <c r="AI17" s="61">
        <f t="shared" si="16"/>
        <v>42813</v>
      </c>
      <c r="AJ17" s="61">
        <f t="shared" si="16"/>
        <v>42844</v>
      </c>
      <c r="AK17" s="61">
        <f t="shared" si="16"/>
        <v>42874</v>
      </c>
      <c r="AL17" s="61">
        <f t="shared" si="16"/>
        <v>42905</v>
      </c>
      <c r="AM17" s="61">
        <f t="shared" si="16"/>
        <v>42935</v>
      </c>
      <c r="AN17" s="61">
        <f t="shared" si="16"/>
        <v>42966</v>
      </c>
      <c r="AO17" s="61">
        <f t="shared" si="16"/>
        <v>42997</v>
      </c>
      <c r="AP17" s="61">
        <f t="shared" ref="AP17:BU17" si="17">AP9</f>
        <v>43027</v>
      </c>
      <c r="AQ17" s="61">
        <f t="shared" si="17"/>
        <v>43058</v>
      </c>
      <c r="AR17" s="61">
        <f t="shared" si="17"/>
        <v>43088</v>
      </c>
      <c r="AS17" s="61">
        <f t="shared" si="17"/>
        <v>43119</v>
      </c>
      <c r="AT17" s="61">
        <f t="shared" si="17"/>
        <v>43150</v>
      </c>
      <c r="AU17" s="61">
        <f t="shared" si="17"/>
        <v>43178</v>
      </c>
      <c r="AV17" s="61">
        <f t="shared" si="17"/>
        <v>43209</v>
      </c>
      <c r="AW17" s="61">
        <f t="shared" si="17"/>
        <v>43239</v>
      </c>
      <c r="AX17" s="61">
        <f t="shared" si="17"/>
        <v>43270</v>
      </c>
      <c r="AY17" s="61">
        <f t="shared" si="17"/>
        <v>43300</v>
      </c>
      <c r="AZ17" s="61">
        <f t="shared" si="17"/>
        <v>43331</v>
      </c>
      <c r="BA17" s="61">
        <f t="shared" si="17"/>
        <v>43362</v>
      </c>
      <c r="BB17" s="61">
        <f t="shared" si="17"/>
        <v>43392</v>
      </c>
      <c r="BC17" s="61">
        <f t="shared" si="17"/>
        <v>43423</v>
      </c>
      <c r="BD17" s="61">
        <f t="shared" si="17"/>
        <v>43453</v>
      </c>
      <c r="BE17" s="61">
        <f t="shared" si="17"/>
        <v>43484</v>
      </c>
      <c r="BF17" s="61">
        <f t="shared" si="17"/>
        <v>43515</v>
      </c>
      <c r="BG17" s="61">
        <f t="shared" si="17"/>
        <v>43543</v>
      </c>
      <c r="BH17" s="61">
        <f t="shared" si="17"/>
        <v>43574</v>
      </c>
      <c r="BI17" s="61">
        <f t="shared" si="17"/>
        <v>43604</v>
      </c>
      <c r="BJ17" s="61">
        <f t="shared" si="17"/>
        <v>43635</v>
      </c>
      <c r="BK17" s="61">
        <f t="shared" si="17"/>
        <v>43665</v>
      </c>
      <c r="BL17" s="61">
        <f t="shared" si="17"/>
        <v>43696</v>
      </c>
      <c r="BM17" s="61">
        <f t="shared" si="17"/>
        <v>43727</v>
      </c>
      <c r="BN17" s="61">
        <f t="shared" si="17"/>
        <v>43757</v>
      </c>
      <c r="BO17" s="61">
        <f t="shared" si="17"/>
        <v>43788</v>
      </c>
      <c r="BP17" s="61">
        <f t="shared" si="17"/>
        <v>43818</v>
      </c>
      <c r="BQ17" s="61">
        <f t="shared" si="17"/>
        <v>43849</v>
      </c>
      <c r="BR17" s="61">
        <f t="shared" si="17"/>
        <v>43880</v>
      </c>
      <c r="BS17" s="61">
        <f t="shared" si="17"/>
        <v>43909</v>
      </c>
      <c r="BT17" s="61">
        <f t="shared" si="17"/>
        <v>43940</v>
      </c>
      <c r="BU17" s="61">
        <f t="shared" si="17"/>
        <v>43970</v>
      </c>
      <c r="BV17" s="61">
        <f t="shared" ref="BV17:CC17" si="18">BV9</f>
        <v>44001</v>
      </c>
      <c r="BW17" s="61">
        <f t="shared" si="18"/>
        <v>44031</v>
      </c>
      <c r="BX17" s="61">
        <f t="shared" si="18"/>
        <v>44062</v>
      </c>
      <c r="BY17" s="61">
        <f t="shared" si="18"/>
        <v>44093</v>
      </c>
      <c r="BZ17" s="61">
        <f t="shared" si="18"/>
        <v>44123</v>
      </c>
      <c r="CA17" s="61">
        <f t="shared" si="18"/>
        <v>44154</v>
      </c>
      <c r="CB17" s="61">
        <f t="shared" si="18"/>
        <v>44184</v>
      </c>
      <c r="CC17" s="61">
        <f t="shared" si="18"/>
        <v>44215</v>
      </c>
    </row>
    <row r="18" spans="3:81" x14ac:dyDescent="0.2">
      <c r="D18" s="34" t="str">
        <f>D11</f>
        <v>Next workday following period end date (incl PED)</v>
      </c>
      <c r="G18" s="56"/>
      <c r="J18" s="61">
        <f t="shared" ref="J18:AO18" si="19">J11</f>
        <v>42054</v>
      </c>
      <c r="K18" s="61">
        <f t="shared" si="19"/>
        <v>42082</v>
      </c>
      <c r="L18" s="61">
        <f t="shared" si="19"/>
        <v>42114</v>
      </c>
      <c r="M18" s="61">
        <f t="shared" si="19"/>
        <v>42143</v>
      </c>
      <c r="N18" s="61">
        <f t="shared" si="19"/>
        <v>42174</v>
      </c>
      <c r="O18" s="61">
        <f t="shared" si="19"/>
        <v>42205</v>
      </c>
      <c r="P18" s="61">
        <f t="shared" si="19"/>
        <v>42235</v>
      </c>
      <c r="Q18" s="61">
        <f t="shared" si="19"/>
        <v>42268</v>
      </c>
      <c r="R18" s="61">
        <f t="shared" si="19"/>
        <v>42296</v>
      </c>
      <c r="S18" s="61">
        <f t="shared" si="19"/>
        <v>42327</v>
      </c>
      <c r="T18" s="61">
        <f t="shared" si="19"/>
        <v>42359</v>
      </c>
      <c r="U18" s="61">
        <f t="shared" si="19"/>
        <v>42388</v>
      </c>
      <c r="V18" s="61">
        <f t="shared" si="19"/>
        <v>42419</v>
      </c>
      <c r="W18" s="61">
        <f t="shared" si="19"/>
        <v>42450</v>
      </c>
      <c r="X18" s="61">
        <f t="shared" si="19"/>
        <v>42479</v>
      </c>
      <c r="Y18" s="61">
        <f t="shared" si="19"/>
        <v>42509</v>
      </c>
      <c r="Z18" s="61">
        <f t="shared" si="19"/>
        <v>42541</v>
      </c>
      <c r="AA18" s="61">
        <f t="shared" si="19"/>
        <v>42570</v>
      </c>
      <c r="AB18" s="61">
        <f t="shared" si="19"/>
        <v>42601</v>
      </c>
      <c r="AC18" s="61">
        <f t="shared" si="19"/>
        <v>42632</v>
      </c>
      <c r="AD18" s="61">
        <f t="shared" si="19"/>
        <v>42662</v>
      </c>
      <c r="AE18" s="61">
        <f t="shared" si="19"/>
        <v>42695</v>
      </c>
      <c r="AF18" s="61">
        <f t="shared" si="19"/>
        <v>42723</v>
      </c>
      <c r="AG18" s="61">
        <f t="shared" si="19"/>
        <v>42754</v>
      </c>
      <c r="AH18" s="61">
        <f t="shared" si="19"/>
        <v>42786</v>
      </c>
      <c r="AI18" s="61">
        <f t="shared" si="19"/>
        <v>42814</v>
      </c>
      <c r="AJ18" s="61">
        <f t="shared" si="19"/>
        <v>42844</v>
      </c>
      <c r="AK18" s="61">
        <f t="shared" si="19"/>
        <v>42874</v>
      </c>
      <c r="AL18" s="61">
        <f t="shared" si="19"/>
        <v>42905</v>
      </c>
      <c r="AM18" s="61">
        <f t="shared" si="19"/>
        <v>42935</v>
      </c>
      <c r="AN18" s="61">
        <f t="shared" si="19"/>
        <v>42968</v>
      </c>
      <c r="AO18" s="61">
        <f t="shared" si="19"/>
        <v>42997</v>
      </c>
      <c r="AP18" s="61">
        <f t="shared" ref="AP18:BU18" si="20">AP11</f>
        <v>43027</v>
      </c>
      <c r="AQ18" s="61">
        <f t="shared" si="20"/>
        <v>43059</v>
      </c>
      <c r="AR18" s="61">
        <f t="shared" si="20"/>
        <v>43088</v>
      </c>
      <c r="AS18" s="61">
        <f t="shared" si="20"/>
        <v>43119</v>
      </c>
      <c r="AT18" s="61">
        <f t="shared" si="20"/>
        <v>43150</v>
      </c>
      <c r="AU18" s="61">
        <f t="shared" si="20"/>
        <v>43178</v>
      </c>
      <c r="AV18" s="61">
        <f t="shared" si="20"/>
        <v>43209</v>
      </c>
      <c r="AW18" s="61">
        <f t="shared" si="20"/>
        <v>43241</v>
      </c>
      <c r="AX18" s="61">
        <f t="shared" si="20"/>
        <v>43270</v>
      </c>
      <c r="AY18" s="61">
        <f t="shared" si="20"/>
        <v>43300</v>
      </c>
      <c r="AZ18" s="61">
        <f t="shared" si="20"/>
        <v>43332</v>
      </c>
      <c r="BA18" s="61">
        <f t="shared" si="20"/>
        <v>43362</v>
      </c>
      <c r="BB18" s="61">
        <f t="shared" si="20"/>
        <v>43395</v>
      </c>
      <c r="BC18" s="61">
        <f t="shared" si="20"/>
        <v>43423</v>
      </c>
      <c r="BD18" s="61">
        <f t="shared" si="20"/>
        <v>43453</v>
      </c>
      <c r="BE18" s="61">
        <f t="shared" si="20"/>
        <v>43486</v>
      </c>
      <c r="BF18" s="61">
        <f t="shared" si="20"/>
        <v>43515</v>
      </c>
      <c r="BG18" s="61">
        <f t="shared" si="20"/>
        <v>43543</v>
      </c>
      <c r="BH18" s="61">
        <f t="shared" si="20"/>
        <v>43578</v>
      </c>
      <c r="BI18" s="61">
        <f t="shared" si="20"/>
        <v>43605</v>
      </c>
      <c r="BJ18" s="61">
        <f t="shared" si="20"/>
        <v>43635</v>
      </c>
      <c r="BK18" s="61">
        <f t="shared" si="20"/>
        <v>43665</v>
      </c>
      <c r="BL18" s="61">
        <f t="shared" si="20"/>
        <v>43696</v>
      </c>
      <c r="BM18" s="61">
        <f t="shared" si="20"/>
        <v>43727</v>
      </c>
      <c r="BN18" s="61">
        <f t="shared" si="20"/>
        <v>43759</v>
      </c>
      <c r="BO18" s="61">
        <f t="shared" si="20"/>
        <v>43788</v>
      </c>
      <c r="BP18" s="61">
        <f t="shared" si="20"/>
        <v>43818</v>
      </c>
      <c r="BQ18" s="61">
        <f t="shared" si="20"/>
        <v>43850</v>
      </c>
      <c r="BR18" s="61">
        <f t="shared" si="20"/>
        <v>43880</v>
      </c>
      <c r="BS18" s="61">
        <f t="shared" si="20"/>
        <v>43909</v>
      </c>
      <c r="BT18" s="61">
        <f t="shared" si="20"/>
        <v>43941</v>
      </c>
      <c r="BU18" s="61">
        <f t="shared" si="20"/>
        <v>43970</v>
      </c>
      <c r="BV18" s="61">
        <f t="shared" ref="BV18:CC18" si="21">BV11</f>
        <v>44001</v>
      </c>
      <c r="BW18" s="61">
        <f t="shared" si="21"/>
        <v>44032</v>
      </c>
      <c r="BX18" s="61">
        <f t="shared" si="21"/>
        <v>44062</v>
      </c>
      <c r="BY18" s="61">
        <f t="shared" si="21"/>
        <v>44095</v>
      </c>
      <c r="BZ18" s="61">
        <f t="shared" si="21"/>
        <v>44124</v>
      </c>
      <c r="CA18" s="61">
        <f t="shared" si="21"/>
        <v>44154</v>
      </c>
      <c r="CB18" s="61">
        <f t="shared" si="21"/>
        <v>44186</v>
      </c>
      <c r="CC18" s="61">
        <f t="shared" si="21"/>
        <v>44215</v>
      </c>
    </row>
    <row r="19" spans="3:81" x14ac:dyDescent="0.2">
      <c r="D19" s="34" t="str">
        <f>D12</f>
        <v>Previous workday prior to PED (excl PED)</v>
      </c>
      <c r="G19" s="56"/>
      <c r="J19" s="61">
        <f t="shared" ref="J19:AO19" si="22">J12</f>
        <v>42053</v>
      </c>
      <c r="K19" s="61">
        <f t="shared" si="22"/>
        <v>42081</v>
      </c>
      <c r="L19" s="61">
        <f t="shared" si="22"/>
        <v>42111</v>
      </c>
      <c r="M19" s="61">
        <f t="shared" si="22"/>
        <v>42142</v>
      </c>
      <c r="N19" s="61">
        <f t="shared" si="22"/>
        <v>42173</v>
      </c>
      <c r="O19" s="61">
        <f t="shared" si="22"/>
        <v>42202</v>
      </c>
      <c r="P19" s="61">
        <f t="shared" si="22"/>
        <v>42234</v>
      </c>
      <c r="Q19" s="61">
        <f t="shared" si="22"/>
        <v>42265</v>
      </c>
      <c r="R19" s="61">
        <f t="shared" si="22"/>
        <v>42293</v>
      </c>
      <c r="S19" s="61">
        <f t="shared" si="22"/>
        <v>42326</v>
      </c>
      <c r="T19" s="61">
        <f t="shared" si="22"/>
        <v>42356</v>
      </c>
      <c r="U19" s="61">
        <f t="shared" si="22"/>
        <v>42387</v>
      </c>
      <c r="V19" s="61">
        <f t="shared" si="22"/>
        <v>42418</v>
      </c>
      <c r="W19" s="61">
        <f t="shared" si="22"/>
        <v>42447</v>
      </c>
      <c r="X19" s="61">
        <f t="shared" si="22"/>
        <v>42478</v>
      </c>
      <c r="Y19" s="61">
        <f t="shared" si="22"/>
        <v>42508</v>
      </c>
      <c r="Z19" s="61">
        <f t="shared" si="22"/>
        <v>42538</v>
      </c>
      <c r="AA19" s="61">
        <f t="shared" si="22"/>
        <v>42569</v>
      </c>
      <c r="AB19" s="61">
        <f t="shared" si="22"/>
        <v>42600</v>
      </c>
      <c r="AC19" s="61">
        <f t="shared" si="22"/>
        <v>42629</v>
      </c>
      <c r="AD19" s="61">
        <f t="shared" si="22"/>
        <v>42661</v>
      </c>
      <c r="AE19" s="61">
        <f t="shared" si="22"/>
        <v>42692</v>
      </c>
      <c r="AF19" s="61">
        <f t="shared" si="22"/>
        <v>42720</v>
      </c>
      <c r="AG19" s="61">
        <f t="shared" si="22"/>
        <v>42753</v>
      </c>
      <c r="AH19" s="61">
        <f t="shared" si="22"/>
        <v>42783</v>
      </c>
      <c r="AI19" s="61">
        <f t="shared" si="22"/>
        <v>42811</v>
      </c>
      <c r="AJ19" s="61">
        <f t="shared" si="22"/>
        <v>42843</v>
      </c>
      <c r="AK19" s="61">
        <f t="shared" si="22"/>
        <v>42873</v>
      </c>
      <c r="AL19" s="61">
        <f t="shared" si="22"/>
        <v>42902</v>
      </c>
      <c r="AM19" s="61">
        <f t="shared" si="22"/>
        <v>42934</v>
      </c>
      <c r="AN19" s="61">
        <f t="shared" si="22"/>
        <v>42965</v>
      </c>
      <c r="AO19" s="61">
        <f t="shared" si="22"/>
        <v>42996</v>
      </c>
      <c r="AP19" s="61">
        <f t="shared" ref="AP19:BU19" si="23">AP12</f>
        <v>43026</v>
      </c>
      <c r="AQ19" s="61">
        <f t="shared" si="23"/>
        <v>43056</v>
      </c>
      <c r="AR19" s="61">
        <f t="shared" si="23"/>
        <v>43087</v>
      </c>
      <c r="AS19" s="61">
        <f t="shared" si="23"/>
        <v>43118</v>
      </c>
      <c r="AT19" s="61">
        <f t="shared" si="23"/>
        <v>43147</v>
      </c>
      <c r="AU19" s="61">
        <f t="shared" si="23"/>
        <v>43175</v>
      </c>
      <c r="AV19" s="61">
        <f t="shared" si="23"/>
        <v>43208</v>
      </c>
      <c r="AW19" s="61">
        <f t="shared" si="23"/>
        <v>43238</v>
      </c>
      <c r="AX19" s="61">
        <f t="shared" si="23"/>
        <v>43269</v>
      </c>
      <c r="AY19" s="61">
        <f t="shared" si="23"/>
        <v>43299</v>
      </c>
      <c r="AZ19" s="61">
        <f t="shared" si="23"/>
        <v>43329</v>
      </c>
      <c r="BA19" s="61">
        <f t="shared" si="23"/>
        <v>43361</v>
      </c>
      <c r="BB19" s="61">
        <f t="shared" si="23"/>
        <v>43391</v>
      </c>
      <c r="BC19" s="61">
        <f t="shared" si="23"/>
        <v>43420</v>
      </c>
      <c r="BD19" s="61">
        <f t="shared" si="23"/>
        <v>43452</v>
      </c>
      <c r="BE19" s="61">
        <f t="shared" si="23"/>
        <v>43483</v>
      </c>
      <c r="BF19" s="61">
        <f t="shared" si="23"/>
        <v>43514</v>
      </c>
      <c r="BG19" s="61">
        <f t="shared" si="23"/>
        <v>43542</v>
      </c>
      <c r="BH19" s="61">
        <f t="shared" si="23"/>
        <v>43573</v>
      </c>
      <c r="BI19" s="61">
        <f t="shared" si="23"/>
        <v>43602</v>
      </c>
      <c r="BJ19" s="61">
        <f t="shared" si="23"/>
        <v>43634</v>
      </c>
      <c r="BK19" s="61">
        <f t="shared" si="23"/>
        <v>43664</v>
      </c>
      <c r="BL19" s="61">
        <f t="shared" si="23"/>
        <v>43693</v>
      </c>
      <c r="BM19" s="61">
        <f t="shared" si="23"/>
        <v>43726</v>
      </c>
      <c r="BN19" s="61">
        <f t="shared" si="23"/>
        <v>43756</v>
      </c>
      <c r="BO19" s="61">
        <f t="shared" si="23"/>
        <v>43787</v>
      </c>
      <c r="BP19" s="61">
        <f t="shared" si="23"/>
        <v>43817</v>
      </c>
      <c r="BQ19" s="61">
        <f t="shared" si="23"/>
        <v>43847</v>
      </c>
      <c r="BR19" s="61">
        <f t="shared" si="23"/>
        <v>43879</v>
      </c>
      <c r="BS19" s="61">
        <f t="shared" si="23"/>
        <v>43908</v>
      </c>
      <c r="BT19" s="61">
        <f t="shared" si="23"/>
        <v>43938</v>
      </c>
      <c r="BU19" s="61">
        <f t="shared" si="23"/>
        <v>43969</v>
      </c>
      <c r="BV19" s="61">
        <f t="shared" ref="BV19:CC19" si="24">BV12</f>
        <v>44000</v>
      </c>
      <c r="BW19" s="61">
        <f t="shared" si="24"/>
        <v>44029</v>
      </c>
      <c r="BX19" s="61">
        <f t="shared" si="24"/>
        <v>44061</v>
      </c>
      <c r="BY19" s="61">
        <f t="shared" si="24"/>
        <v>44092</v>
      </c>
      <c r="BZ19" s="61">
        <f t="shared" si="24"/>
        <v>44120</v>
      </c>
      <c r="CA19" s="61">
        <f t="shared" si="24"/>
        <v>44153</v>
      </c>
      <c r="CB19" s="61">
        <f t="shared" si="24"/>
        <v>44183</v>
      </c>
      <c r="CC19" s="61">
        <f t="shared" si="24"/>
        <v>44214</v>
      </c>
    </row>
    <row r="20" spans="3:81" x14ac:dyDescent="0.2">
      <c r="D20" s="34" t="str">
        <f>D13</f>
        <v>Payment date (interest period between dates)</v>
      </c>
      <c r="G20" s="56"/>
      <c r="J20" s="61">
        <f t="shared" ref="J20:AO20" si="25">J13</f>
        <v>42054</v>
      </c>
      <c r="K20" s="61">
        <f t="shared" si="25"/>
        <v>42082</v>
      </c>
      <c r="L20" s="61">
        <f t="shared" si="25"/>
        <v>42114</v>
      </c>
      <c r="M20" s="61">
        <f t="shared" si="25"/>
        <v>42143</v>
      </c>
      <c r="N20" s="61">
        <f t="shared" si="25"/>
        <v>42174</v>
      </c>
      <c r="O20" s="61">
        <f t="shared" si="25"/>
        <v>42205</v>
      </c>
      <c r="P20" s="61">
        <f t="shared" si="25"/>
        <v>42235</v>
      </c>
      <c r="Q20" s="61">
        <f t="shared" si="25"/>
        <v>42268</v>
      </c>
      <c r="R20" s="61">
        <f t="shared" si="25"/>
        <v>42296</v>
      </c>
      <c r="S20" s="61">
        <f t="shared" si="25"/>
        <v>42327</v>
      </c>
      <c r="T20" s="61">
        <f t="shared" si="25"/>
        <v>42359</v>
      </c>
      <c r="U20" s="61">
        <f t="shared" si="25"/>
        <v>42388</v>
      </c>
      <c r="V20" s="61">
        <f t="shared" si="25"/>
        <v>42419</v>
      </c>
      <c r="W20" s="61">
        <f t="shared" si="25"/>
        <v>42450</v>
      </c>
      <c r="X20" s="61">
        <f t="shared" si="25"/>
        <v>42479</v>
      </c>
      <c r="Y20" s="61">
        <f t="shared" si="25"/>
        <v>42509</v>
      </c>
      <c r="Z20" s="61">
        <f t="shared" si="25"/>
        <v>42541</v>
      </c>
      <c r="AA20" s="61">
        <f t="shared" si="25"/>
        <v>42570</v>
      </c>
      <c r="AB20" s="61">
        <f t="shared" si="25"/>
        <v>42601</v>
      </c>
      <c r="AC20" s="61">
        <f t="shared" si="25"/>
        <v>42632</v>
      </c>
      <c r="AD20" s="61">
        <f t="shared" si="25"/>
        <v>42662</v>
      </c>
      <c r="AE20" s="61">
        <f t="shared" si="25"/>
        <v>42695</v>
      </c>
      <c r="AF20" s="61">
        <f t="shared" si="25"/>
        <v>42723</v>
      </c>
      <c r="AG20" s="61">
        <f t="shared" si="25"/>
        <v>42754</v>
      </c>
      <c r="AH20" s="61">
        <f t="shared" si="25"/>
        <v>42786</v>
      </c>
      <c r="AI20" s="61">
        <f t="shared" si="25"/>
        <v>42814</v>
      </c>
      <c r="AJ20" s="61">
        <f t="shared" si="25"/>
        <v>42844</v>
      </c>
      <c r="AK20" s="61">
        <f t="shared" si="25"/>
        <v>42874</v>
      </c>
      <c r="AL20" s="61">
        <f t="shared" si="25"/>
        <v>42905</v>
      </c>
      <c r="AM20" s="61">
        <f t="shared" si="25"/>
        <v>42935</v>
      </c>
      <c r="AN20" s="61">
        <f t="shared" si="25"/>
        <v>42968</v>
      </c>
      <c r="AO20" s="61">
        <f t="shared" si="25"/>
        <v>42997</v>
      </c>
      <c r="AP20" s="61">
        <f t="shared" ref="AP20:BU20" si="26">AP13</f>
        <v>43027</v>
      </c>
      <c r="AQ20" s="61">
        <f t="shared" si="26"/>
        <v>43059</v>
      </c>
      <c r="AR20" s="61">
        <f t="shared" si="26"/>
        <v>43088</v>
      </c>
      <c r="AS20" s="61">
        <f t="shared" si="26"/>
        <v>43119</v>
      </c>
      <c r="AT20" s="61">
        <f t="shared" si="26"/>
        <v>43150</v>
      </c>
      <c r="AU20" s="61">
        <f t="shared" si="26"/>
        <v>43178</v>
      </c>
      <c r="AV20" s="61">
        <f t="shared" si="26"/>
        <v>43209</v>
      </c>
      <c r="AW20" s="61">
        <f t="shared" si="26"/>
        <v>43241</v>
      </c>
      <c r="AX20" s="61">
        <f t="shared" si="26"/>
        <v>43270</v>
      </c>
      <c r="AY20" s="61">
        <f t="shared" si="26"/>
        <v>43300</v>
      </c>
      <c r="AZ20" s="61">
        <f t="shared" si="26"/>
        <v>43332</v>
      </c>
      <c r="BA20" s="61">
        <f t="shared" si="26"/>
        <v>43362</v>
      </c>
      <c r="BB20" s="61">
        <f t="shared" si="26"/>
        <v>43395</v>
      </c>
      <c r="BC20" s="61">
        <f t="shared" si="26"/>
        <v>43423</v>
      </c>
      <c r="BD20" s="61">
        <f t="shared" si="26"/>
        <v>43453</v>
      </c>
      <c r="BE20" s="61">
        <f t="shared" si="26"/>
        <v>43486</v>
      </c>
      <c r="BF20" s="61">
        <f t="shared" si="26"/>
        <v>43515</v>
      </c>
      <c r="BG20" s="61">
        <f t="shared" si="26"/>
        <v>43543</v>
      </c>
      <c r="BH20" s="61">
        <f t="shared" si="26"/>
        <v>43578</v>
      </c>
      <c r="BI20" s="61">
        <f t="shared" si="26"/>
        <v>43605</v>
      </c>
      <c r="BJ20" s="61">
        <f t="shared" si="26"/>
        <v>43635</v>
      </c>
      <c r="BK20" s="61">
        <f t="shared" si="26"/>
        <v>43665</v>
      </c>
      <c r="BL20" s="61">
        <f t="shared" si="26"/>
        <v>43696</v>
      </c>
      <c r="BM20" s="61">
        <f t="shared" si="26"/>
        <v>43727</v>
      </c>
      <c r="BN20" s="61">
        <f t="shared" si="26"/>
        <v>43759</v>
      </c>
      <c r="BO20" s="61">
        <f t="shared" si="26"/>
        <v>43788</v>
      </c>
      <c r="BP20" s="61">
        <f t="shared" si="26"/>
        <v>43818</v>
      </c>
      <c r="BQ20" s="61">
        <f t="shared" si="26"/>
        <v>43850</v>
      </c>
      <c r="BR20" s="61">
        <f t="shared" si="26"/>
        <v>43880</v>
      </c>
      <c r="BS20" s="61">
        <f t="shared" si="26"/>
        <v>43909</v>
      </c>
      <c r="BT20" s="61">
        <f t="shared" si="26"/>
        <v>43941</v>
      </c>
      <c r="BU20" s="61">
        <f t="shared" si="26"/>
        <v>43970</v>
      </c>
      <c r="BV20" s="61">
        <f t="shared" ref="BV20:CC20" si="27">BV13</f>
        <v>44001</v>
      </c>
      <c r="BW20" s="61">
        <f t="shared" si="27"/>
        <v>44032</v>
      </c>
      <c r="BX20" s="61">
        <f t="shared" si="27"/>
        <v>44062</v>
      </c>
      <c r="BY20" s="61">
        <f t="shared" si="27"/>
        <v>44095</v>
      </c>
      <c r="BZ20" s="61">
        <f t="shared" si="27"/>
        <v>44124</v>
      </c>
      <c r="CA20" s="61">
        <f t="shared" si="27"/>
        <v>44154</v>
      </c>
      <c r="CB20" s="61">
        <f t="shared" si="27"/>
        <v>44186</v>
      </c>
      <c r="CC20" s="61">
        <f t="shared" si="27"/>
        <v>44215</v>
      </c>
    </row>
    <row r="21" spans="3:81" x14ac:dyDescent="0.2">
      <c r="D21" s="42" t="s">
        <v>16</v>
      </c>
      <c r="H21" s="222">
        <f>SUM(J21:CC21)</f>
        <v>24</v>
      </c>
      <c r="J21" s="62">
        <f>IF(J10&gt;Key_Assumptions_BA!$L$20,0,IF(J13=J9,0,1))</f>
        <v>0</v>
      </c>
      <c r="K21" s="62">
        <f>IF(K10&gt;Key_Assumptions_BA!$L$20,0,IF(K13=K9,0,1))</f>
        <v>0</v>
      </c>
      <c r="L21" s="62">
        <f>IF(L10&gt;Key_Assumptions_BA!$L$20,0,IF(L13=L9,0,1))</f>
        <v>1</v>
      </c>
      <c r="M21" s="62">
        <f>IF(M10&gt;Key_Assumptions_BA!$L$20,0,IF(M13=M9,0,1))</f>
        <v>0</v>
      </c>
      <c r="N21" s="62">
        <f>IF(N10&gt;Key_Assumptions_BA!$L$20,0,IF(N13=N9,0,1))</f>
        <v>0</v>
      </c>
      <c r="O21" s="62">
        <f>IF(O10&gt;Key_Assumptions_BA!$L$20,0,IF(O13=O9,0,1))</f>
        <v>1</v>
      </c>
      <c r="P21" s="62">
        <f>IF(P10&gt;Key_Assumptions_BA!$L$20,0,IF(P13=P9,0,1))</f>
        <v>0</v>
      </c>
      <c r="Q21" s="62">
        <f>IF(Q10&gt;Key_Assumptions_BA!$L$20,0,IF(Q13=Q9,0,1))</f>
        <v>1</v>
      </c>
      <c r="R21" s="62">
        <f>IF(R10&gt;Key_Assumptions_BA!$L$20,0,IF(R13=R9,0,1))</f>
        <v>0</v>
      </c>
      <c r="S21" s="62">
        <f>IF(S10&gt;Key_Assumptions_BA!$L$20,0,IF(S13=S9,0,1))</f>
        <v>0</v>
      </c>
      <c r="T21" s="62">
        <f>IF(T10&gt;Key_Assumptions_BA!$L$20,0,IF(T13=T9,0,1))</f>
        <v>1</v>
      </c>
      <c r="U21" s="62">
        <f>IF(U10&gt;Key_Assumptions_BA!$L$20,0,IF(U13=U9,0,1))</f>
        <v>0</v>
      </c>
      <c r="V21" s="62">
        <f>IF(V10&gt;Key_Assumptions_BA!$L$20,0,IF(V13=V9,0,1))</f>
        <v>0</v>
      </c>
      <c r="W21" s="62">
        <f>IF(W10&gt;Key_Assumptions_BA!$L$20,0,IF(W13=W9,0,1))</f>
        <v>1</v>
      </c>
      <c r="X21" s="62">
        <f>IF(X10&gt;Key_Assumptions_BA!$L$20,0,IF(X13=X9,0,1))</f>
        <v>0</v>
      </c>
      <c r="Y21" s="62">
        <f>IF(Y10&gt;Key_Assumptions_BA!$L$20,0,IF(Y13=Y9,0,1))</f>
        <v>0</v>
      </c>
      <c r="Z21" s="62">
        <f>IF(Z10&gt;Key_Assumptions_BA!$L$20,0,IF(Z13=Z9,0,1))</f>
        <v>1</v>
      </c>
      <c r="AA21" s="62">
        <f>IF(AA10&gt;Key_Assumptions_BA!$L$20,0,IF(AA13=AA9,0,1))</f>
        <v>0</v>
      </c>
      <c r="AB21" s="62">
        <f>IF(AB10&gt;Key_Assumptions_BA!$L$20,0,IF(AB13=AB9,0,1))</f>
        <v>0</v>
      </c>
      <c r="AC21" s="62">
        <f>IF(AC10&gt;Key_Assumptions_BA!$L$20,0,IF(AC13=AC9,0,1))</f>
        <v>0</v>
      </c>
      <c r="AD21" s="62">
        <f>IF(AD10&gt;Key_Assumptions_BA!$L$20,0,IF(AD13=AD9,0,1))</f>
        <v>0</v>
      </c>
      <c r="AE21" s="62">
        <f>IF(AE10&gt;Key_Assumptions_BA!$L$20,0,IF(AE13=AE9,0,1))</f>
        <v>1</v>
      </c>
      <c r="AF21" s="62">
        <f>IF(AF10&gt;Key_Assumptions_BA!$L$20,0,IF(AF13=AF9,0,1))</f>
        <v>0</v>
      </c>
      <c r="AG21" s="62">
        <f>IF(AG10&gt;Key_Assumptions_BA!$L$20,0,IF(AG13=AG9,0,1))</f>
        <v>0</v>
      </c>
      <c r="AH21" s="62">
        <f>IF(AH10&gt;Key_Assumptions_BA!$L$20,0,IF(AH13=AH9,0,1))</f>
        <v>1</v>
      </c>
      <c r="AI21" s="62">
        <f>IF(AI10&gt;Key_Assumptions_BA!$L$20,0,IF(AI13=AI9,0,1))</f>
        <v>1</v>
      </c>
      <c r="AJ21" s="62">
        <f>IF(AJ10&gt;Key_Assumptions_BA!$L$20,0,IF(AJ13=AJ9,0,1))</f>
        <v>0</v>
      </c>
      <c r="AK21" s="62">
        <f>IF(AK10&gt;Key_Assumptions_BA!$L$20,0,IF(AK13=AK9,0,1))</f>
        <v>0</v>
      </c>
      <c r="AL21" s="62">
        <f>IF(AL10&gt;Key_Assumptions_BA!$L$20,0,IF(AL13=AL9,0,1))</f>
        <v>0</v>
      </c>
      <c r="AM21" s="62">
        <f>IF(AM10&gt;Key_Assumptions_BA!$L$20,0,IF(AM13=AM9,0,1))</f>
        <v>0</v>
      </c>
      <c r="AN21" s="62">
        <f>IF(AN10&gt;Key_Assumptions_BA!$L$20,0,IF(AN13=AN9,0,1))</f>
        <v>1</v>
      </c>
      <c r="AO21" s="62">
        <f>IF(AO10&gt;Key_Assumptions_BA!$L$20,0,IF(AO13=AO9,0,1))</f>
        <v>0</v>
      </c>
      <c r="AP21" s="62">
        <f>IF(AP10&gt;Key_Assumptions_BA!$L$20,0,IF(AP13=AP9,0,1))</f>
        <v>0</v>
      </c>
      <c r="AQ21" s="62">
        <f>IF(AQ10&gt;Key_Assumptions_BA!$L$20,0,IF(AQ13=AQ9,0,1))</f>
        <v>1</v>
      </c>
      <c r="AR21" s="62">
        <f>IF(AR10&gt;Key_Assumptions_BA!$L$20,0,IF(AR13=AR9,0,1))</f>
        <v>0</v>
      </c>
      <c r="AS21" s="62">
        <f>IF(AS10&gt;Key_Assumptions_BA!$L$20,0,IF(AS13=AS9,0,1))</f>
        <v>0</v>
      </c>
      <c r="AT21" s="62">
        <f>IF(AT10&gt;Key_Assumptions_BA!$L$20,0,IF(AT13=AT9,0,1))</f>
        <v>0</v>
      </c>
      <c r="AU21" s="62">
        <f>IF(AU10&gt;Key_Assumptions_BA!$L$20,0,IF(AU13=AU9,0,1))</f>
        <v>0</v>
      </c>
      <c r="AV21" s="62">
        <f>IF(AV10&gt;Key_Assumptions_BA!$L$20,0,IF(AV13=AV9,0,1))</f>
        <v>0</v>
      </c>
      <c r="AW21" s="62">
        <f>IF(AW10&gt;Key_Assumptions_BA!$L$20,0,IF(AW13=AW9,0,1))</f>
        <v>1</v>
      </c>
      <c r="AX21" s="62">
        <f>IF(AX10&gt;Key_Assumptions_BA!$L$20,0,IF(AX13=AX9,0,1))</f>
        <v>0</v>
      </c>
      <c r="AY21" s="62">
        <f>IF(AY10&gt;Key_Assumptions_BA!$L$20,0,IF(AY13=AY9,0,1))</f>
        <v>0</v>
      </c>
      <c r="AZ21" s="62">
        <f>IF(AZ10&gt;Key_Assumptions_BA!$L$20,0,IF(AZ13=AZ9,0,1))</f>
        <v>1</v>
      </c>
      <c r="BA21" s="62">
        <f>IF(BA10&gt;Key_Assumptions_BA!$L$20,0,IF(BA13=BA9,0,1))</f>
        <v>0</v>
      </c>
      <c r="BB21" s="62">
        <f>IF(BB10&gt;Key_Assumptions_BA!$L$20,0,IF(BB13=BB9,0,1))</f>
        <v>1</v>
      </c>
      <c r="BC21" s="62">
        <f>IF(BC10&gt;Key_Assumptions_BA!$L$20,0,IF(BC13=BC9,0,1))</f>
        <v>0</v>
      </c>
      <c r="BD21" s="62">
        <f>IF(BD10&gt;Key_Assumptions_BA!$L$20,0,IF(BD13=BD9,0,1))</f>
        <v>0</v>
      </c>
      <c r="BE21" s="62">
        <f>IF(BE10&gt;Key_Assumptions_BA!$L$20,0,IF(BE13=BE9,0,1))</f>
        <v>1</v>
      </c>
      <c r="BF21" s="62">
        <f>IF(BF10&gt;Key_Assumptions_BA!$L$20,0,IF(BF13=BF9,0,1))</f>
        <v>0</v>
      </c>
      <c r="BG21" s="62">
        <f>IF(BG10&gt;Key_Assumptions_BA!$L$20,0,IF(BG13=BG9,0,1))</f>
        <v>0</v>
      </c>
      <c r="BH21" s="62">
        <f>IF(BH10&gt;Key_Assumptions_BA!$L$20,0,IF(BH13=BH9,0,1))</f>
        <v>1</v>
      </c>
      <c r="BI21" s="62">
        <f>IF(BI10&gt;Key_Assumptions_BA!$L$20,0,IF(BI13=BI9,0,1))</f>
        <v>1</v>
      </c>
      <c r="BJ21" s="62">
        <f>IF(BJ10&gt;Key_Assumptions_BA!$L$20,0,IF(BJ13=BJ9,0,1))</f>
        <v>0</v>
      </c>
      <c r="BK21" s="62">
        <f>IF(BK10&gt;Key_Assumptions_BA!$L$20,0,IF(BK13=BK9,0,1))</f>
        <v>0</v>
      </c>
      <c r="BL21" s="62">
        <f>IF(BL10&gt;Key_Assumptions_BA!$L$20,0,IF(BL13=BL9,0,1))</f>
        <v>0</v>
      </c>
      <c r="BM21" s="62">
        <f>IF(BM10&gt;Key_Assumptions_BA!$L$20,0,IF(BM13=BM9,0,1))</f>
        <v>0</v>
      </c>
      <c r="BN21" s="62">
        <f>IF(BN10&gt;Key_Assumptions_BA!$L$20,0,IF(BN13=BN9,0,1))</f>
        <v>1</v>
      </c>
      <c r="BO21" s="62">
        <f>IF(BO10&gt;Key_Assumptions_BA!$L$20,0,IF(BO13=BO9,0,1))</f>
        <v>0</v>
      </c>
      <c r="BP21" s="62">
        <f>IF(BP10&gt;Key_Assumptions_BA!$L$20,0,IF(BP13=BP9,0,1))</f>
        <v>0</v>
      </c>
      <c r="BQ21" s="62">
        <f>IF(BQ10&gt;Key_Assumptions_BA!$L$20,0,IF(BQ13=BQ9,0,1))</f>
        <v>1</v>
      </c>
      <c r="BR21" s="62">
        <f>IF(BR10&gt;Key_Assumptions_BA!$L$20,0,IF(BR13=BR9,0,1))</f>
        <v>0</v>
      </c>
      <c r="BS21" s="62">
        <f>IF(BS10&gt;Key_Assumptions_BA!$L$20,0,IF(BS13=BS9,0,1))</f>
        <v>0</v>
      </c>
      <c r="BT21" s="62">
        <f>IF(BT10&gt;Key_Assumptions_BA!$L$20,0,IF(BT13=BT9,0,1))</f>
        <v>1</v>
      </c>
      <c r="BU21" s="62">
        <f>IF(BU10&gt;Key_Assumptions_BA!$L$20,0,IF(BU13=BU9,0,1))</f>
        <v>0</v>
      </c>
      <c r="BV21" s="62">
        <f>IF(BV10&gt;Key_Assumptions_BA!$L$20,0,IF(BV13=BV9,0,1))</f>
        <v>0</v>
      </c>
      <c r="BW21" s="62">
        <f>IF(BW10&gt;Key_Assumptions_BA!$L$20,0,IF(BW13=BW9,0,1))</f>
        <v>1</v>
      </c>
      <c r="BX21" s="62">
        <f>IF(BX10&gt;Key_Assumptions_BA!$L$20,0,IF(BX13=BX9,0,1))</f>
        <v>0</v>
      </c>
      <c r="BY21" s="62">
        <f>IF(BY10&gt;Key_Assumptions_BA!$L$20,0,IF(BY13=BY9,0,1))</f>
        <v>1</v>
      </c>
      <c r="BZ21" s="62">
        <f>IF(BZ10&gt;Key_Assumptions_BA!$L$20,0,IF(BZ13=BZ9,0,1))</f>
        <v>1</v>
      </c>
      <c r="CA21" s="62">
        <f>IF(CA10&gt;Key_Assumptions_BA!$L$20,0,IF(CA13=CA9,0,1))</f>
        <v>0</v>
      </c>
      <c r="CB21" s="62">
        <f>IF(CB10&gt;Key_Assumptions_BA!$L$20,0,IF(CB13=CB9,0,1))</f>
        <v>1</v>
      </c>
      <c r="CC21" s="62">
        <f>IF(CC10&gt;Key_Assumptions_BA!$L$20,0,IF(CC13=CC9,0,1))</f>
        <v>0</v>
      </c>
    </row>
    <row r="22" spans="3:81" x14ac:dyDescent="0.2">
      <c r="G22" s="56"/>
      <c r="H22" s="223"/>
    </row>
    <row r="23" spans="3:81" ht="12.5" x14ac:dyDescent="0.2">
      <c r="C23" s="39" t="s">
        <v>234</v>
      </c>
      <c r="G23" s="56"/>
      <c r="H23" s="223"/>
    </row>
    <row r="24" spans="3:81" x14ac:dyDescent="0.2">
      <c r="D24" s="42" t="s">
        <v>17</v>
      </c>
      <c r="G24" s="56"/>
      <c r="H24" s="223"/>
      <c r="J24" s="51">
        <f>IF(J10=1,Key_Assumptions_BA!$L$19,I26)</f>
        <v>250000</v>
      </c>
      <c r="K24" s="51">
        <f>IF(K10=1,Key_Assumptions_BA!$L$19,J26)</f>
        <v>247054.64245656712</v>
      </c>
      <c r="L24" s="51">
        <f>IF(L10=1,Key_Assumptions_BA!$L$19,K26)</f>
        <v>243990.68644578292</v>
      </c>
      <c r="M24" s="51">
        <f>IF(M10=1,Key_Assumptions_BA!$L$19,L26)</f>
        <v>241053.54945644809</v>
      </c>
      <c r="N24" s="51">
        <f>IF(N10=1,Key_Assumptions_BA!$L$19,M26)</f>
        <v>237999.99671460513</v>
      </c>
      <c r="O24" s="51">
        <f>IF(O10=1,Key_Assumptions_BA!$L$19,N26)</f>
        <v>235001.64189638855</v>
      </c>
      <c r="P24" s="51">
        <f>IF(P10=1,Key_Assumptions_BA!$L$19,O26)</f>
        <v>231990.04502894741</v>
      </c>
      <c r="Q24" s="51">
        <f>IF(Q10=1,Key_Assumptions_BA!$L$19,P26)</f>
        <v>228932.09699303552</v>
      </c>
      <c r="R24" s="51">
        <f>IF(R10=1,Key_Assumptions_BA!$L$19,Q26)</f>
        <v>225958.92432204113</v>
      </c>
      <c r="S24" s="51">
        <f>IF(S10=1,Key_Assumptions_BA!$L$19,R26)</f>
        <v>222810.81662467099</v>
      </c>
      <c r="T24" s="51">
        <f>IF(T10=1,Key_Assumptions_BA!$L$19,S26)</f>
        <v>219745.37972890653</v>
      </c>
      <c r="U24" s="51">
        <f>IF(U10=1,Key_Assumptions_BA!$L$19,T26)</f>
        <v>216697.71071114187</v>
      </c>
      <c r="V24" s="51">
        <f>IF(V10=1,Key_Assumptions_BA!$L$19,U26)</f>
        <v>213543.53165470189</v>
      </c>
      <c r="W24" s="51">
        <f>IF(W10=1,Key_Assumptions_BA!$L$19,V26)</f>
        <v>210437.16636613855</v>
      </c>
      <c r="X24" s="51">
        <f>IF(X10=1,Key_Assumptions_BA!$L$19,W26)</f>
        <v>207317.08200676655</v>
      </c>
      <c r="Y24" s="51">
        <f>IF(Y10=1,Key_Assumptions_BA!$L$19,X26)</f>
        <v>204124.14681858354</v>
      </c>
      <c r="Z24" s="51">
        <f>IF(Z10=1,Key_Assumptions_BA!$L$19,Y26)</f>
        <v>200947.10069716981</v>
      </c>
      <c r="AA24" s="51">
        <f>IF(AA10=1,Key_Assumptions_BA!$L$19,Z26)</f>
        <v>197813.73212787416</v>
      </c>
      <c r="AB24" s="51">
        <f>IF(AB10=1,Key_Assumptions_BA!$L$19,AA26)</f>
        <v>194581.53378457509</v>
      </c>
      <c r="AC24" s="51">
        <f>IF(AC10=1,Key_Assumptions_BA!$L$19,AB26)</f>
        <v>191391.42400130862</v>
      </c>
      <c r="AD24" s="51">
        <f>IF(AD10=1,Key_Assumptions_BA!$L$19,AC26)</f>
        <v>188187.22529483496</v>
      </c>
      <c r="AE24" s="51">
        <f>IF(AE10=1,Key_Assumptions_BA!$L$19,AD26)</f>
        <v>184942.06520745673</v>
      </c>
      <c r="AF24" s="51">
        <f>IF(AF10=1,Key_Assumptions_BA!$L$19,AE26)</f>
        <v>181762.07912675262</v>
      </c>
      <c r="AG24" s="51">
        <f>IF(AG10=1,Key_Assumptions_BA!$L$19,AF26)</f>
        <v>178437.66839758976</v>
      </c>
      <c r="AH24" s="51">
        <f>IF(AH10=1,Key_Assumptions_BA!$L$19,AG26)</f>
        <v>175176.26022801147</v>
      </c>
      <c r="AI24" s="51">
        <f>IF(AI10=1,Key_Assumptions_BA!$L$19,AH26)</f>
        <v>171925.40486819341</v>
      </c>
      <c r="AJ24" s="51">
        <f>IF(AJ10=1,Key_Assumptions_BA!$L$19,AI26)</f>
        <v>168561.75524116628</v>
      </c>
      <c r="AK24" s="51">
        <f>IF(AK10=1,Key_Assumptions_BA!$L$19,AJ26)</f>
        <v>165232.71643246277</v>
      </c>
      <c r="AL24" s="51">
        <f>IF(AL10=1,Key_Assumptions_BA!$L$19,AK26)</f>
        <v>161889.44940309742</v>
      </c>
      <c r="AM24" s="51">
        <f>IF(AM10=1,Key_Assumptions_BA!$L$19,AL26)</f>
        <v>158554.95704442562</v>
      </c>
      <c r="AN24" s="51">
        <f>IF(AN10=1,Key_Assumptions_BA!$L$19,AM26)</f>
        <v>155183.1494543881</v>
      </c>
      <c r="AO24" s="51">
        <f>IF(AO10=1,Key_Assumptions_BA!$L$19,AN26)</f>
        <v>151863.25570400653</v>
      </c>
      <c r="AP24" s="51">
        <f>IF(AP10=1,Key_Assumptions_BA!$L$19,AO26)</f>
        <v>148441.21265263297</v>
      </c>
      <c r="AQ24" s="51">
        <f>IF(AQ10=1,Key_Assumptions_BA!$L$19,AP26)</f>
        <v>145026.17919615383</v>
      </c>
      <c r="AR24" s="51">
        <f>IF(AR10=1,Key_Assumptions_BA!$L$19,AQ26)</f>
        <v>141637.87250801519</v>
      </c>
      <c r="AS24" s="51">
        <f>IF(AS10=1,Key_Assumptions_BA!$L$19,AR26)</f>
        <v>138173.5832159305</v>
      </c>
      <c r="AT24" s="51">
        <f>IF(AT10=1,Key_Assumptions_BA!$L$19,AS26)</f>
        <v>134734.35119618004</v>
      </c>
      <c r="AU24" s="51">
        <f>IF(AU10=1,Key_Assumptions_BA!$L$19,AT26)</f>
        <v>131279.9300202218</v>
      </c>
      <c r="AV24" s="51">
        <f>IF(AV10=1,Key_Assumptions_BA!$L$19,AU26)</f>
        <v>127754.14392366412</v>
      </c>
      <c r="AW24" s="51">
        <f>IF(AW10=1,Key_Assumptions_BA!$L$19,AV26)</f>
        <v>124268.89509257357</v>
      </c>
      <c r="AX24" s="51">
        <f>IF(AX10=1,Key_Assumptions_BA!$L$19,AW26)</f>
        <v>120785.95793663122</v>
      </c>
      <c r="AY24" s="51">
        <f>IF(AY10=1,Key_Assumptions_BA!$L$19,AX26)</f>
        <v>117235.51881667353</v>
      </c>
      <c r="AZ24" s="51">
        <f>IF(AZ10=1,Key_Assumptions_BA!$L$19,AY26)</f>
        <v>113687.11307969001</v>
      </c>
      <c r="BA24" s="51">
        <f>IF(BA10=1,Key_Assumptions_BA!$L$19,AZ26)</f>
        <v>110155.93459424235</v>
      </c>
      <c r="BB24" s="51">
        <f>IF(BB10=1,Key_Assumptions_BA!$L$19,BA26)</f>
        <v>106577.27090825337</v>
      </c>
      <c r="BC24" s="51">
        <f>IF(BC10=1,Key_Assumptions_BA!$L$19,BB26)</f>
        <v>103028.86294530971</v>
      </c>
      <c r="BD24" s="51">
        <f>IF(BD10=1,Key_Assumptions_BA!$L$19,BC26)</f>
        <v>99390.382181187451</v>
      </c>
      <c r="BE24" s="51">
        <f>IF(BE10=1,Key_Assumptions_BA!$L$19,BD26)</f>
        <v>95765.706819131708</v>
      </c>
      <c r="BF24" s="51">
        <f>IF(BF10=1,Key_Assumptions_BA!$L$19,BE26)</f>
        <v>92166.469694607411</v>
      </c>
      <c r="BG24" s="51">
        <f>IF(BG10=1,Key_Assumptions_BA!$L$19,BF26)</f>
        <v>88497.788962953899</v>
      </c>
      <c r="BH24" s="51">
        <f>IF(BH10=1,Key_Assumptions_BA!$L$19,BG26)</f>
        <v>84801.3431475486</v>
      </c>
      <c r="BI24" s="51">
        <f>IF(BI10=1,Key_Assumptions_BA!$L$19,BH26)</f>
        <v>81174.721068577477</v>
      </c>
      <c r="BJ24" s="51">
        <f>IF(BJ10=1,Key_Assumptions_BA!$L$19,BI26)</f>
        <v>77437.498616597441</v>
      </c>
      <c r="BK24" s="51">
        <f>IF(BK10=1,Key_Assumptions_BA!$L$19,BJ26)</f>
        <v>73718.997231635512</v>
      </c>
      <c r="BL24" s="51">
        <f>IF(BL10=1,Key_Assumptions_BA!$L$19,BK26)</f>
        <v>69984.603073631006</v>
      </c>
      <c r="BM24" s="51">
        <f>IF(BM10=1,Key_Assumptions_BA!$L$19,BL26)</f>
        <v>66244.21862651236</v>
      </c>
      <c r="BN24" s="51">
        <f>IF(BN10=1,Key_Assumptions_BA!$L$19,BM26)</f>
        <v>62487.31500205466</v>
      </c>
      <c r="BO24" s="51">
        <f>IF(BO10=1,Key_Assumptions_BA!$L$19,BN26)</f>
        <v>58722.721546740744</v>
      </c>
      <c r="BP24" s="51">
        <f>IF(BP10=1,Key_Assumptions_BA!$L$19,BO26)</f>
        <v>54915.867740547561</v>
      </c>
      <c r="BQ24" s="51">
        <f>IF(BQ10=1,Key_Assumptions_BA!$L$19,BP26)</f>
        <v>51101.109522252373</v>
      </c>
      <c r="BR24" s="51">
        <f>IF(BR10=1,Key_Assumptions_BA!$L$19,BQ26)</f>
        <v>47284.607447983966</v>
      </c>
      <c r="BS24" s="51">
        <f>IF(BS10=1,Key_Assumptions_BA!$L$19,BR26)</f>
        <v>43437.233432273984</v>
      </c>
      <c r="BT24" s="51">
        <f>IF(BT10=1,Key_Assumptions_BA!$L$19,BS26)</f>
        <v>39567.227527240757</v>
      </c>
      <c r="BU24" s="51">
        <f>IF(BU10=1,Key_Assumptions_BA!$L$19,BT26)</f>
        <v>35698.143590945772</v>
      </c>
      <c r="BV24" s="51">
        <f>IF(BV10=1,Key_Assumptions_BA!$L$19,BU26)</f>
        <v>31796.163583225632</v>
      </c>
      <c r="BW24" s="51">
        <f>IF(BW10=1,Key_Assumptions_BA!$L$19,BV26)</f>
        <v>27887.122247179501</v>
      </c>
      <c r="BX24" s="51">
        <f>IF(BX10=1,Key_Assumptions_BA!$L$19,BW26)</f>
        <v>23960.816871041025</v>
      </c>
      <c r="BY24" s="51">
        <f>IF(BY10=1,Key_Assumptions_BA!$L$19,BX26)</f>
        <v>20013.757613413152</v>
      </c>
      <c r="BZ24" s="51">
        <f>IF(BZ10=1,Key_Assumptions_BA!$L$19,BY26)</f>
        <v>16058.382557828549</v>
      </c>
      <c r="CA24" s="51">
        <f>IF(CA10=1,Key_Assumptions_BA!$L$19,BZ26)</f>
        <v>12075.260742881173</v>
      </c>
      <c r="CB24" s="51">
        <f>IF(CB10=1,Key_Assumptions_BA!$L$19,CA26)</f>
        <v>8077.4029439932201</v>
      </c>
      <c r="CC24" s="51">
        <f>IF(CC10=1,Key_Assumptions_BA!$L$19,CB26)</f>
        <v>4064.7599169954319</v>
      </c>
    </row>
    <row r="25" spans="3:81" x14ac:dyDescent="0.2">
      <c r="D25" s="42" t="s">
        <v>24</v>
      </c>
      <c r="G25" s="56"/>
      <c r="H25" s="223"/>
      <c r="J25" s="51">
        <f t="shared" ref="J25:AO25" si="28">-J30</f>
        <v>-2945.3575434328695</v>
      </c>
      <c r="K25" s="51">
        <f t="shared" si="28"/>
        <v>-3063.9560107842076</v>
      </c>
      <c r="L25" s="51">
        <f t="shared" si="28"/>
        <v>-2937.1369893348347</v>
      </c>
      <c r="M25" s="51">
        <f t="shared" si="28"/>
        <v>-3053.5527418429419</v>
      </c>
      <c r="N25" s="51">
        <f t="shared" si="28"/>
        <v>-2998.3548182165864</v>
      </c>
      <c r="O25" s="51">
        <f t="shared" si="28"/>
        <v>-3011.5968674411483</v>
      </c>
      <c r="P25" s="51">
        <f t="shared" si="28"/>
        <v>-3057.9480359118888</v>
      </c>
      <c r="Q25" s="51">
        <f t="shared" si="28"/>
        <v>-2973.1726709943796</v>
      </c>
      <c r="R25" s="51">
        <f t="shared" si="28"/>
        <v>-3148.1076973701524</v>
      </c>
      <c r="S25" s="51">
        <f t="shared" si="28"/>
        <v>-3065.4368957644597</v>
      </c>
      <c r="T25" s="51">
        <f t="shared" si="28"/>
        <v>-3047.6690177646497</v>
      </c>
      <c r="U25" s="51">
        <f t="shared" si="28"/>
        <v>-3154.1790564399876</v>
      </c>
      <c r="V25" s="51">
        <f t="shared" si="28"/>
        <v>-3106.3652885633369</v>
      </c>
      <c r="W25" s="51">
        <f t="shared" si="28"/>
        <v>-3120.0843593720056</v>
      </c>
      <c r="X25" s="51">
        <f t="shared" si="28"/>
        <v>-3192.9351881829962</v>
      </c>
      <c r="Y25" s="51">
        <f t="shared" si="28"/>
        <v>-3177.0461214137181</v>
      </c>
      <c r="Z25" s="51">
        <f t="shared" si="28"/>
        <v>-3133.3685692956351</v>
      </c>
      <c r="AA25" s="51">
        <f t="shared" si="28"/>
        <v>-3232.1983432990774</v>
      </c>
      <c r="AB25" s="51">
        <f t="shared" si="28"/>
        <v>-3190.1097832664723</v>
      </c>
      <c r="AC25" s="51">
        <f t="shared" si="28"/>
        <v>-3204.1987064736659</v>
      </c>
      <c r="AD25" s="51">
        <f t="shared" si="28"/>
        <v>-3245.1600873782327</v>
      </c>
      <c r="AE25" s="51">
        <f t="shared" si="28"/>
        <v>-3179.9860807041141</v>
      </c>
      <c r="AF25" s="51">
        <f t="shared" si="28"/>
        <v>-3324.4107291628648</v>
      </c>
      <c r="AG25" s="51">
        <f t="shared" si="28"/>
        <v>-3261.4081695783088</v>
      </c>
      <c r="AH25" s="51">
        <f t="shared" si="28"/>
        <v>-3250.8553598180451</v>
      </c>
      <c r="AI25" s="51">
        <f t="shared" si="28"/>
        <v>-3363.6496270271446</v>
      </c>
      <c r="AJ25" s="51">
        <f t="shared" si="28"/>
        <v>-3329.0388087035017</v>
      </c>
      <c r="AK25" s="51">
        <f t="shared" si="28"/>
        <v>-3343.2670293653578</v>
      </c>
      <c r="AL25" s="51">
        <f t="shared" si="28"/>
        <v>-3334.4923586717928</v>
      </c>
      <c r="AM25" s="51">
        <f t="shared" si="28"/>
        <v>-3371.8075900375165</v>
      </c>
      <c r="AN25" s="51">
        <f t="shared" si="28"/>
        <v>-3319.893750381555</v>
      </c>
      <c r="AO25" s="51">
        <f t="shared" si="28"/>
        <v>-3422.0430513735769</v>
      </c>
      <c r="AP25" s="51">
        <f t="shared" ref="AP25:BU25" si="29">-AP30</f>
        <v>-3415.033456479151</v>
      </c>
      <c r="AQ25" s="51">
        <f t="shared" si="29"/>
        <v>-3388.306688138623</v>
      </c>
      <c r="AR25" s="51">
        <f t="shared" si="29"/>
        <v>-3464.2892920846866</v>
      </c>
      <c r="AS25" s="51">
        <f t="shared" si="29"/>
        <v>-3439.2320197504587</v>
      </c>
      <c r="AT25" s="51">
        <f t="shared" si="29"/>
        <v>-3454.4211759582336</v>
      </c>
      <c r="AU25" s="51">
        <f t="shared" si="29"/>
        <v>-3525.7860965576838</v>
      </c>
      <c r="AV25" s="51">
        <f t="shared" si="29"/>
        <v>-3485.2488310905505</v>
      </c>
      <c r="AW25" s="51">
        <f t="shared" si="29"/>
        <v>-3482.9371559423425</v>
      </c>
      <c r="AX25" s="51">
        <f t="shared" si="29"/>
        <v>-3550.4391199576921</v>
      </c>
      <c r="AY25" s="51">
        <f t="shared" si="29"/>
        <v>-3548.4057369835255</v>
      </c>
      <c r="AZ25" s="51">
        <f t="shared" si="29"/>
        <v>-3531.1784854476527</v>
      </c>
      <c r="BA25" s="51">
        <f t="shared" si="29"/>
        <v>-3578.6636859889845</v>
      </c>
      <c r="BB25" s="51">
        <f t="shared" si="29"/>
        <v>-3548.4079629436565</v>
      </c>
      <c r="BC25" s="51">
        <f t="shared" si="29"/>
        <v>-3638.4807641222642</v>
      </c>
      <c r="BD25" s="51">
        <f t="shared" si="29"/>
        <v>-3624.6753620557397</v>
      </c>
      <c r="BE25" s="51">
        <f t="shared" si="29"/>
        <v>-3599.2371245242944</v>
      </c>
      <c r="BF25" s="51">
        <f t="shared" si="29"/>
        <v>-3668.6807316535055</v>
      </c>
      <c r="BG25" s="51">
        <f t="shared" si="29"/>
        <v>-3696.4458154053059</v>
      </c>
      <c r="BH25" s="51">
        <f t="shared" si="29"/>
        <v>-3626.6220789711206</v>
      </c>
      <c r="BI25" s="51">
        <f t="shared" si="29"/>
        <v>-3737.2224519800402</v>
      </c>
      <c r="BJ25" s="51">
        <f t="shared" si="29"/>
        <v>-3718.5013849619327</v>
      </c>
      <c r="BK25" s="51">
        <f t="shared" si="29"/>
        <v>-3734.3941580045098</v>
      </c>
      <c r="BL25" s="51">
        <f t="shared" si="29"/>
        <v>-3740.3844471186417</v>
      </c>
      <c r="BM25" s="51">
        <f t="shared" si="29"/>
        <v>-3756.9036244576973</v>
      </c>
      <c r="BN25" s="51">
        <f t="shared" si="29"/>
        <v>-3764.5934553139136</v>
      </c>
      <c r="BO25" s="51">
        <f t="shared" si="29"/>
        <v>-3806.8538061931849</v>
      </c>
      <c r="BP25" s="51">
        <f t="shared" si="29"/>
        <v>-3814.7582182951869</v>
      </c>
      <c r="BQ25" s="51">
        <f t="shared" si="29"/>
        <v>-3816.5020742684096</v>
      </c>
      <c r="BR25" s="51">
        <f t="shared" si="29"/>
        <v>-3847.3740157099792</v>
      </c>
      <c r="BS25" s="51">
        <f t="shared" si="29"/>
        <v>-3870.0059050332284</v>
      </c>
      <c r="BT25" s="51">
        <f t="shared" si="29"/>
        <v>-3869.0839362949832</v>
      </c>
      <c r="BU25" s="51">
        <f t="shared" si="29"/>
        <v>-3901.9800077201403</v>
      </c>
      <c r="BV25" s="51">
        <f t="shared" ref="BV25:CC25" si="30">-BV30</f>
        <v>-3909.0413360461307</v>
      </c>
      <c r="BW25" s="51">
        <f t="shared" si="30"/>
        <v>-3926.3053761384772</v>
      </c>
      <c r="BX25" s="51">
        <f t="shared" si="30"/>
        <v>-3947.0592576278723</v>
      </c>
      <c r="BY25" s="51">
        <f t="shared" si="30"/>
        <v>-3955.3750555846041</v>
      </c>
      <c r="BZ25" s="51">
        <f t="shared" si="30"/>
        <v>-3983.1218149473752</v>
      </c>
      <c r="CA25" s="51">
        <f t="shared" si="30"/>
        <v>-3997.8577988879529</v>
      </c>
      <c r="CB25" s="51">
        <f t="shared" si="30"/>
        <v>-4012.6430269977882</v>
      </c>
      <c r="CC25" s="51">
        <f t="shared" si="30"/>
        <v>-4032.6735490360775</v>
      </c>
    </row>
    <row r="26" spans="3:81" x14ac:dyDescent="0.2">
      <c r="D26" s="42" t="s">
        <v>18</v>
      </c>
      <c r="G26" s="56"/>
      <c r="H26" s="223"/>
      <c r="J26" s="63">
        <f t="shared" ref="J26:AO26" si="31">+J24+J25</f>
        <v>247054.64245656712</v>
      </c>
      <c r="K26" s="63">
        <f t="shared" si="31"/>
        <v>243990.68644578292</v>
      </c>
      <c r="L26" s="63">
        <f t="shared" si="31"/>
        <v>241053.54945644809</v>
      </c>
      <c r="M26" s="63">
        <f t="shared" si="31"/>
        <v>237999.99671460513</v>
      </c>
      <c r="N26" s="63">
        <f t="shared" si="31"/>
        <v>235001.64189638855</v>
      </c>
      <c r="O26" s="63">
        <f t="shared" si="31"/>
        <v>231990.04502894741</v>
      </c>
      <c r="P26" s="63">
        <f t="shared" si="31"/>
        <v>228932.09699303552</v>
      </c>
      <c r="Q26" s="63">
        <f t="shared" si="31"/>
        <v>225958.92432204113</v>
      </c>
      <c r="R26" s="63">
        <f t="shared" si="31"/>
        <v>222810.81662467099</v>
      </c>
      <c r="S26" s="63">
        <f t="shared" si="31"/>
        <v>219745.37972890653</v>
      </c>
      <c r="T26" s="63">
        <f t="shared" si="31"/>
        <v>216697.71071114187</v>
      </c>
      <c r="U26" s="63">
        <f t="shared" si="31"/>
        <v>213543.53165470189</v>
      </c>
      <c r="V26" s="63">
        <f t="shared" si="31"/>
        <v>210437.16636613855</v>
      </c>
      <c r="W26" s="63">
        <f t="shared" si="31"/>
        <v>207317.08200676655</v>
      </c>
      <c r="X26" s="63">
        <f t="shared" si="31"/>
        <v>204124.14681858354</v>
      </c>
      <c r="Y26" s="63">
        <f t="shared" si="31"/>
        <v>200947.10069716981</v>
      </c>
      <c r="Z26" s="63">
        <f t="shared" si="31"/>
        <v>197813.73212787416</v>
      </c>
      <c r="AA26" s="63">
        <f t="shared" si="31"/>
        <v>194581.53378457509</v>
      </c>
      <c r="AB26" s="63">
        <f t="shared" si="31"/>
        <v>191391.42400130862</v>
      </c>
      <c r="AC26" s="63">
        <f t="shared" si="31"/>
        <v>188187.22529483496</v>
      </c>
      <c r="AD26" s="63">
        <f t="shared" si="31"/>
        <v>184942.06520745673</v>
      </c>
      <c r="AE26" s="63">
        <f t="shared" si="31"/>
        <v>181762.07912675262</v>
      </c>
      <c r="AF26" s="63">
        <f t="shared" si="31"/>
        <v>178437.66839758976</v>
      </c>
      <c r="AG26" s="63">
        <f t="shared" si="31"/>
        <v>175176.26022801147</v>
      </c>
      <c r="AH26" s="63">
        <f t="shared" si="31"/>
        <v>171925.40486819341</v>
      </c>
      <c r="AI26" s="63">
        <f t="shared" si="31"/>
        <v>168561.75524116628</v>
      </c>
      <c r="AJ26" s="63">
        <f t="shared" si="31"/>
        <v>165232.71643246277</v>
      </c>
      <c r="AK26" s="63">
        <f t="shared" si="31"/>
        <v>161889.44940309742</v>
      </c>
      <c r="AL26" s="63">
        <f t="shared" si="31"/>
        <v>158554.95704442562</v>
      </c>
      <c r="AM26" s="63">
        <f t="shared" si="31"/>
        <v>155183.1494543881</v>
      </c>
      <c r="AN26" s="63">
        <f t="shared" si="31"/>
        <v>151863.25570400653</v>
      </c>
      <c r="AO26" s="63">
        <f t="shared" si="31"/>
        <v>148441.21265263297</v>
      </c>
      <c r="AP26" s="63">
        <f t="shared" ref="AP26:BU26" si="32">+AP24+AP25</f>
        <v>145026.17919615383</v>
      </c>
      <c r="AQ26" s="63">
        <f t="shared" si="32"/>
        <v>141637.87250801519</v>
      </c>
      <c r="AR26" s="63">
        <f t="shared" si="32"/>
        <v>138173.5832159305</v>
      </c>
      <c r="AS26" s="63">
        <f t="shared" si="32"/>
        <v>134734.35119618004</v>
      </c>
      <c r="AT26" s="63">
        <f t="shared" si="32"/>
        <v>131279.9300202218</v>
      </c>
      <c r="AU26" s="63">
        <f t="shared" si="32"/>
        <v>127754.14392366412</v>
      </c>
      <c r="AV26" s="63">
        <f t="shared" si="32"/>
        <v>124268.89509257357</v>
      </c>
      <c r="AW26" s="63">
        <f t="shared" si="32"/>
        <v>120785.95793663122</v>
      </c>
      <c r="AX26" s="63">
        <f t="shared" si="32"/>
        <v>117235.51881667353</v>
      </c>
      <c r="AY26" s="63">
        <f t="shared" si="32"/>
        <v>113687.11307969001</v>
      </c>
      <c r="AZ26" s="63">
        <f t="shared" si="32"/>
        <v>110155.93459424235</v>
      </c>
      <c r="BA26" s="63">
        <f t="shared" si="32"/>
        <v>106577.27090825337</v>
      </c>
      <c r="BB26" s="63">
        <f t="shared" si="32"/>
        <v>103028.86294530971</v>
      </c>
      <c r="BC26" s="63">
        <f t="shared" si="32"/>
        <v>99390.382181187451</v>
      </c>
      <c r="BD26" s="63">
        <f t="shared" si="32"/>
        <v>95765.706819131708</v>
      </c>
      <c r="BE26" s="63">
        <f t="shared" si="32"/>
        <v>92166.469694607411</v>
      </c>
      <c r="BF26" s="63">
        <f t="shared" si="32"/>
        <v>88497.788962953899</v>
      </c>
      <c r="BG26" s="63">
        <f t="shared" si="32"/>
        <v>84801.3431475486</v>
      </c>
      <c r="BH26" s="63">
        <f t="shared" si="32"/>
        <v>81174.721068577477</v>
      </c>
      <c r="BI26" s="63">
        <f t="shared" si="32"/>
        <v>77437.498616597441</v>
      </c>
      <c r="BJ26" s="63">
        <f t="shared" si="32"/>
        <v>73718.997231635512</v>
      </c>
      <c r="BK26" s="63">
        <f t="shared" si="32"/>
        <v>69984.603073631006</v>
      </c>
      <c r="BL26" s="63">
        <f t="shared" si="32"/>
        <v>66244.21862651236</v>
      </c>
      <c r="BM26" s="63">
        <f t="shared" si="32"/>
        <v>62487.31500205466</v>
      </c>
      <c r="BN26" s="63">
        <f t="shared" si="32"/>
        <v>58722.721546740744</v>
      </c>
      <c r="BO26" s="63">
        <f t="shared" si="32"/>
        <v>54915.867740547561</v>
      </c>
      <c r="BP26" s="63">
        <f t="shared" si="32"/>
        <v>51101.109522252373</v>
      </c>
      <c r="BQ26" s="63">
        <f t="shared" si="32"/>
        <v>47284.607447983966</v>
      </c>
      <c r="BR26" s="63">
        <f t="shared" si="32"/>
        <v>43437.233432273984</v>
      </c>
      <c r="BS26" s="63">
        <f t="shared" si="32"/>
        <v>39567.227527240757</v>
      </c>
      <c r="BT26" s="63">
        <f t="shared" si="32"/>
        <v>35698.143590945772</v>
      </c>
      <c r="BU26" s="63">
        <f t="shared" si="32"/>
        <v>31796.163583225632</v>
      </c>
      <c r="BV26" s="63">
        <f t="shared" ref="BV26:CC26" si="33">+BV24+BV25</f>
        <v>27887.122247179501</v>
      </c>
      <c r="BW26" s="63">
        <f t="shared" si="33"/>
        <v>23960.816871041025</v>
      </c>
      <c r="BX26" s="63">
        <f t="shared" si="33"/>
        <v>20013.757613413152</v>
      </c>
      <c r="BY26" s="63">
        <f t="shared" si="33"/>
        <v>16058.382557828549</v>
      </c>
      <c r="BZ26" s="63">
        <f t="shared" si="33"/>
        <v>12075.260742881173</v>
      </c>
      <c r="CA26" s="63">
        <f t="shared" si="33"/>
        <v>8077.4029439932201</v>
      </c>
      <c r="CB26" s="63">
        <f t="shared" si="33"/>
        <v>4064.7599169954319</v>
      </c>
      <c r="CC26" s="63">
        <f t="shared" si="33"/>
        <v>32.086367959354448</v>
      </c>
    </row>
    <row r="27" spans="3:81" x14ac:dyDescent="0.2">
      <c r="F27" s="41" t="s">
        <v>31</v>
      </c>
      <c r="H27" s="224">
        <f>CC26</f>
        <v>32.086367959354448</v>
      </c>
    </row>
    <row r="28" spans="3:81" x14ac:dyDescent="0.2">
      <c r="E28" s="64"/>
      <c r="G28" s="65"/>
      <c r="H28" s="223"/>
    </row>
    <row r="29" spans="3:81" x14ac:dyDescent="0.2">
      <c r="D29" s="42" t="s">
        <v>19</v>
      </c>
      <c r="H29" s="213">
        <f>SUM(J29:CC29)</f>
        <v>41593.719906084902</v>
      </c>
      <c r="J29" s="66">
        <f t="shared" ref="J29:AO29" si="34">J24*int*J14/days_in_yr</f>
        <v>1104.1095890410959</v>
      </c>
      <c r="K29" s="66">
        <f t="shared" si="34"/>
        <v>985.51112168975806</v>
      </c>
      <c r="L29" s="66">
        <f t="shared" si="34"/>
        <v>1112.3301431391308</v>
      </c>
      <c r="M29" s="66">
        <f t="shared" si="34"/>
        <v>995.91439063102371</v>
      </c>
      <c r="N29" s="66">
        <f t="shared" si="34"/>
        <v>1051.1123142573792</v>
      </c>
      <c r="O29" s="66">
        <f t="shared" si="34"/>
        <v>1037.8702650328173</v>
      </c>
      <c r="P29" s="66">
        <f t="shared" si="34"/>
        <v>991.51909656207658</v>
      </c>
      <c r="Q29" s="66">
        <f t="shared" si="34"/>
        <v>1076.2944614795861</v>
      </c>
      <c r="R29" s="66">
        <f t="shared" si="34"/>
        <v>901.35943510381321</v>
      </c>
      <c r="S29" s="66">
        <f t="shared" si="34"/>
        <v>984.03023670950586</v>
      </c>
      <c r="T29" s="66">
        <f t="shared" si="34"/>
        <v>1001.7981147093162</v>
      </c>
      <c r="U29" s="66">
        <f t="shared" si="34"/>
        <v>895.28807603397797</v>
      </c>
      <c r="V29" s="66">
        <f t="shared" si="34"/>
        <v>943.10184391062865</v>
      </c>
      <c r="W29" s="66">
        <f t="shared" si="34"/>
        <v>929.38277310195986</v>
      </c>
      <c r="X29" s="66">
        <f t="shared" si="34"/>
        <v>856.5319442909697</v>
      </c>
      <c r="Y29" s="66">
        <f t="shared" si="34"/>
        <v>872.42101106024745</v>
      </c>
      <c r="Z29" s="66">
        <f t="shared" si="34"/>
        <v>916.09856317833032</v>
      </c>
      <c r="AA29" s="66">
        <f t="shared" si="34"/>
        <v>817.26878917488818</v>
      </c>
      <c r="AB29" s="66">
        <f t="shared" si="34"/>
        <v>859.35734920749326</v>
      </c>
      <c r="AC29" s="66">
        <f t="shared" si="34"/>
        <v>845.26842600029988</v>
      </c>
      <c r="AD29" s="66">
        <f t="shared" si="34"/>
        <v>804.30704509573286</v>
      </c>
      <c r="AE29" s="66">
        <f t="shared" si="34"/>
        <v>869.48105176985132</v>
      </c>
      <c r="AF29" s="66">
        <f t="shared" si="34"/>
        <v>725.05640331110089</v>
      </c>
      <c r="AG29" s="66">
        <f t="shared" si="34"/>
        <v>788.0589628956568</v>
      </c>
      <c r="AH29" s="66">
        <f t="shared" si="34"/>
        <v>798.61177265592073</v>
      </c>
      <c r="AI29" s="66">
        <f t="shared" si="34"/>
        <v>685.81750544682086</v>
      </c>
      <c r="AJ29" s="66">
        <f t="shared" si="34"/>
        <v>720.42832377046409</v>
      </c>
      <c r="AK29" s="66">
        <f t="shared" si="34"/>
        <v>706.20010310860789</v>
      </c>
      <c r="AL29" s="66">
        <f t="shared" si="34"/>
        <v>714.97477380217276</v>
      </c>
      <c r="AM29" s="66">
        <f t="shared" si="34"/>
        <v>677.6595424364491</v>
      </c>
      <c r="AN29" s="66">
        <f t="shared" si="34"/>
        <v>729.57338209241084</v>
      </c>
      <c r="AO29" s="66">
        <f t="shared" si="34"/>
        <v>627.42408110038866</v>
      </c>
      <c r="AP29" s="66">
        <f t="shared" ref="AP29:BU29" si="35">AP24*int*AP14/days_in_yr</f>
        <v>634.43367599481485</v>
      </c>
      <c r="AQ29" s="66">
        <f t="shared" si="35"/>
        <v>661.16044433534239</v>
      </c>
      <c r="AR29" s="66">
        <f t="shared" si="35"/>
        <v>585.17784038927914</v>
      </c>
      <c r="AS29" s="66">
        <f t="shared" si="35"/>
        <v>610.23511272350675</v>
      </c>
      <c r="AT29" s="66">
        <f t="shared" si="35"/>
        <v>595.04595651573209</v>
      </c>
      <c r="AU29" s="66">
        <f t="shared" si="35"/>
        <v>523.6810359162821</v>
      </c>
      <c r="AV29" s="66">
        <f t="shared" si="35"/>
        <v>564.21830138341522</v>
      </c>
      <c r="AW29" s="66">
        <f t="shared" si="35"/>
        <v>566.52997653162299</v>
      </c>
      <c r="AX29" s="66">
        <f t="shared" si="35"/>
        <v>499.02801251627363</v>
      </c>
      <c r="AY29" s="66">
        <f t="shared" si="35"/>
        <v>501.06139549044025</v>
      </c>
      <c r="AZ29" s="66">
        <f t="shared" si="35"/>
        <v>518.28864702631279</v>
      </c>
      <c r="BA29" s="66">
        <f t="shared" si="35"/>
        <v>470.80344648498095</v>
      </c>
      <c r="BB29" s="66">
        <f t="shared" si="35"/>
        <v>501.05916953030896</v>
      </c>
      <c r="BC29" s="66">
        <f t="shared" si="35"/>
        <v>410.98636835170123</v>
      </c>
      <c r="BD29" s="66">
        <f t="shared" si="35"/>
        <v>424.79177041822578</v>
      </c>
      <c r="BE29" s="66">
        <f t="shared" si="35"/>
        <v>450.23000794967129</v>
      </c>
      <c r="BF29" s="66">
        <f t="shared" si="35"/>
        <v>380.78640082046019</v>
      </c>
      <c r="BG29" s="66">
        <f t="shared" si="35"/>
        <v>353.02131706865993</v>
      </c>
      <c r="BH29" s="66">
        <f t="shared" si="35"/>
        <v>422.84505350284508</v>
      </c>
      <c r="BI29" s="66">
        <f t="shared" si="35"/>
        <v>312.24468049392539</v>
      </c>
      <c r="BJ29" s="66">
        <f t="shared" si="35"/>
        <v>330.96574751203292</v>
      </c>
      <c r="BK29" s="66">
        <f t="shared" si="35"/>
        <v>315.07297446945591</v>
      </c>
      <c r="BL29" s="66">
        <f t="shared" si="35"/>
        <v>309.0826853553238</v>
      </c>
      <c r="BM29" s="66">
        <f t="shared" si="35"/>
        <v>292.56350801626826</v>
      </c>
      <c r="BN29" s="66">
        <f t="shared" si="35"/>
        <v>284.8736771600519</v>
      </c>
      <c r="BO29" s="66">
        <f t="shared" si="35"/>
        <v>242.61332628078091</v>
      </c>
      <c r="BP29" s="66">
        <f t="shared" si="35"/>
        <v>234.7089141787786</v>
      </c>
      <c r="BQ29" s="66">
        <f t="shared" si="35"/>
        <v>232.96505820555601</v>
      </c>
      <c r="BR29" s="66">
        <f t="shared" si="35"/>
        <v>202.09311676398625</v>
      </c>
      <c r="BS29" s="66">
        <f t="shared" si="35"/>
        <v>179.46122744073745</v>
      </c>
      <c r="BT29" s="66">
        <f t="shared" si="35"/>
        <v>180.3831961789825</v>
      </c>
      <c r="BU29" s="66">
        <f t="shared" si="35"/>
        <v>147.48712475382527</v>
      </c>
      <c r="BV29" s="66">
        <f t="shared" ref="BV29:CC29" si="36">BV24*int*BV14/days_in_yr</f>
        <v>140.42579642783485</v>
      </c>
      <c r="BW29" s="66">
        <f t="shared" si="36"/>
        <v>123.16175633548865</v>
      </c>
      <c r="BX29" s="66">
        <f t="shared" si="36"/>
        <v>102.40787484609314</v>
      </c>
      <c r="BY29" s="66">
        <f t="shared" si="36"/>
        <v>94.09207688936155</v>
      </c>
      <c r="BZ29" s="66">
        <f t="shared" si="36"/>
        <v>66.345317526590279</v>
      </c>
      <c r="CA29" s="66">
        <f t="shared" si="36"/>
        <v>51.609333586012674</v>
      </c>
      <c r="CB29" s="66">
        <f t="shared" si="36"/>
        <v>36.824105476177309</v>
      </c>
      <c r="CC29" s="66">
        <f t="shared" si="36"/>
        <v>16.793583437887975</v>
      </c>
    </row>
    <row r="30" spans="3:81" x14ac:dyDescent="0.2">
      <c r="D30" s="42" t="s">
        <v>22</v>
      </c>
      <c r="H30" s="225">
        <f>pmt</f>
        <v>-4049.4671324739656</v>
      </c>
      <c r="J30" s="66">
        <f t="shared" ref="J30" si="37">-$H$30-J29</f>
        <v>2945.3575434328695</v>
      </c>
      <c r="K30" s="66">
        <f t="shared" ref="K30" si="38">-$H$30-K29</f>
        <v>3063.9560107842076</v>
      </c>
      <c r="L30" s="66">
        <f t="shared" ref="L30:BW30" si="39">-$H$30-L29</f>
        <v>2937.1369893348347</v>
      </c>
      <c r="M30" s="66">
        <f t="shared" si="39"/>
        <v>3053.5527418429419</v>
      </c>
      <c r="N30" s="66">
        <f t="shared" si="39"/>
        <v>2998.3548182165864</v>
      </c>
      <c r="O30" s="66">
        <f t="shared" si="39"/>
        <v>3011.5968674411483</v>
      </c>
      <c r="P30" s="66">
        <f t="shared" si="39"/>
        <v>3057.9480359118888</v>
      </c>
      <c r="Q30" s="66">
        <f t="shared" si="39"/>
        <v>2973.1726709943796</v>
      </c>
      <c r="R30" s="66">
        <f t="shared" si="39"/>
        <v>3148.1076973701524</v>
      </c>
      <c r="S30" s="66">
        <f t="shared" si="39"/>
        <v>3065.4368957644597</v>
      </c>
      <c r="T30" s="66">
        <f t="shared" si="39"/>
        <v>3047.6690177646497</v>
      </c>
      <c r="U30" s="66">
        <f t="shared" si="39"/>
        <v>3154.1790564399876</v>
      </c>
      <c r="V30" s="66">
        <f t="shared" si="39"/>
        <v>3106.3652885633369</v>
      </c>
      <c r="W30" s="66">
        <f t="shared" si="39"/>
        <v>3120.0843593720056</v>
      </c>
      <c r="X30" s="66">
        <f t="shared" si="39"/>
        <v>3192.9351881829962</v>
      </c>
      <c r="Y30" s="66">
        <f t="shared" si="39"/>
        <v>3177.0461214137181</v>
      </c>
      <c r="Z30" s="66">
        <f t="shared" si="39"/>
        <v>3133.3685692956351</v>
      </c>
      <c r="AA30" s="66">
        <f t="shared" si="39"/>
        <v>3232.1983432990774</v>
      </c>
      <c r="AB30" s="66">
        <f t="shared" si="39"/>
        <v>3190.1097832664723</v>
      </c>
      <c r="AC30" s="66">
        <f t="shared" si="39"/>
        <v>3204.1987064736659</v>
      </c>
      <c r="AD30" s="66">
        <f t="shared" si="39"/>
        <v>3245.1600873782327</v>
      </c>
      <c r="AE30" s="66">
        <f t="shared" si="39"/>
        <v>3179.9860807041141</v>
      </c>
      <c r="AF30" s="66">
        <f t="shared" si="39"/>
        <v>3324.4107291628648</v>
      </c>
      <c r="AG30" s="66">
        <f t="shared" si="39"/>
        <v>3261.4081695783088</v>
      </c>
      <c r="AH30" s="66">
        <f t="shared" si="39"/>
        <v>3250.8553598180451</v>
      </c>
      <c r="AI30" s="66">
        <f t="shared" si="39"/>
        <v>3363.6496270271446</v>
      </c>
      <c r="AJ30" s="66">
        <f t="shared" si="39"/>
        <v>3329.0388087035017</v>
      </c>
      <c r="AK30" s="66">
        <f t="shared" si="39"/>
        <v>3343.2670293653578</v>
      </c>
      <c r="AL30" s="66">
        <f t="shared" si="39"/>
        <v>3334.4923586717928</v>
      </c>
      <c r="AM30" s="66">
        <f t="shared" si="39"/>
        <v>3371.8075900375165</v>
      </c>
      <c r="AN30" s="66">
        <f t="shared" si="39"/>
        <v>3319.893750381555</v>
      </c>
      <c r="AO30" s="66">
        <f t="shared" si="39"/>
        <v>3422.0430513735769</v>
      </c>
      <c r="AP30" s="66">
        <f t="shared" si="39"/>
        <v>3415.033456479151</v>
      </c>
      <c r="AQ30" s="66">
        <f t="shared" si="39"/>
        <v>3388.306688138623</v>
      </c>
      <c r="AR30" s="66">
        <f t="shared" si="39"/>
        <v>3464.2892920846866</v>
      </c>
      <c r="AS30" s="66">
        <f t="shared" si="39"/>
        <v>3439.2320197504587</v>
      </c>
      <c r="AT30" s="66">
        <f t="shared" si="39"/>
        <v>3454.4211759582336</v>
      </c>
      <c r="AU30" s="66">
        <f t="shared" si="39"/>
        <v>3525.7860965576838</v>
      </c>
      <c r="AV30" s="66">
        <f t="shared" si="39"/>
        <v>3485.2488310905505</v>
      </c>
      <c r="AW30" s="66">
        <f t="shared" si="39"/>
        <v>3482.9371559423425</v>
      </c>
      <c r="AX30" s="66">
        <f t="shared" si="39"/>
        <v>3550.4391199576921</v>
      </c>
      <c r="AY30" s="66">
        <f t="shared" si="39"/>
        <v>3548.4057369835255</v>
      </c>
      <c r="AZ30" s="66">
        <f t="shared" si="39"/>
        <v>3531.1784854476527</v>
      </c>
      <c r="BA30" s="66">
        <f t="shared" si="39"/>
        <v>3578.6636859889845</v>
      </c>
      <c r="BB30" s="66">
        <f t="shared" si="39"/>
        <v>3548.4079629436565</v>
      </c>
      <c r="BC30" s="66">
        <f t="shared" si="39"/>
        <v>3638.4807641222642</v>
      </c>
      <c r="BD30" s="66">
        <f t="shared" si="39"/>
        <v>3624.6753620557397</v>
      </c>
      <c r="BE30" s="66">
        <f t="shared" si="39"/>
        <v>3599.2371245242944</v>
      </c>
      <c r="BF30" s="66">
        <f t="shared" si="39"/>
        <v>3668.6807316535055</v>
      </c>
      <c r="BG30" s="66">
        <f t="shared" si="39"/>
        <v>3696.4458154053059</v>
      </c>
      <c r="BH30" s="66">
        <f t="shared" si="39"/>
        <v>3626.6220789711206</v>
      </c>
      <c r="BI30" s="66">
        <f t="shared" si="39"/>
        <v>3737.2224519800402</v>
      </c>
      <c r="BJ30" s="66">
        <f t="shared" si="39"/>
        <v>3718.5013849619327</v>
      </c>
      <c r="BK30" s="66">
        <f t="shared" si="39"/>
        <v>3734.3941580045098</v>
      </c>
      <c r="BL30" s="66">
        <f t="shared" si="39"/>
        <v>3740.3844471186417</v>
      </c>
      <c r="BM30" s="66">
        <f t="shared" si="39"/>
        <v>3756.9036244576973</v>
      </c>
      <c r="BN30" s="66">
        <f t="shared" si="39"/>
        <v>3764.5934553139136</v>
      </c>
      <c r="BO30" s="66">
        <f t="shared" si="39"/>
        <v>3806.8538061931849</v>
      </c>
      <c r="BP30" s="66">
        <f t="shared" si="39"/>
        <v>3814.7582182951869</v>
      </c>
      <c r="BQ30" s="66">
        <f t="shared" si="39"/>
        <v>3816.5020742684096</v>
      </c>
      <c r="BR30" s="66">
        <f t="shared" si="39"/>
        <v>3847.3740157099792</v>
      </c>
      <c r="BS30" s="66">
        <f t="shared" si="39"/>
        <v>3870.0059050332284</v>
      </c>
      <c r="BT30" s="66">
        <f t="shared" si="39"/>
        <v>3869.0839362949832</v>
      </c>
      <c r="BU30" s="66">
        <f t="shared" si="39"/>
        <v>3901.9800077201403</v>
      </c>
      <c r="BV30" s="66">
        <f t="shared" si="39"/>
        <v>3909.0413360461307</v>
      </c>
      <c r="BW30" s="66">
        <f t="shared" si="39"/>
        <v>3926.3053761384772</v>
      </c>
      <c r="BX30" s="66">
        <f t="shared" ref="BX30:CC30" si="40">-$H$30-BX29</f>
        <v>3947.0592576278723</v>
      </c>
      <c r="BY30" s="66">
        <f t="shared" si="40"/>
        <v>3955.3750555846041</v>
      </c>
      <c r="BZ30" s="66">
        <f t="shared" si="40"/>
        <v>3983.1218149473752</v>
      </c>
      <c r="CA30" s="66">
        <f t="shared" si="40"/>
        <v>3997.8577988879529</v>
      </c>
      <c r="CB30" s="66">
        <f t="shared" si="40"/>
        <v>4012.6430269977882</v>
      </c>
      <c r="CC30" s="66">
        <f t="shared" si="40"/>
        <v>4032.6735490360775</v>
      </c>
    </row>
    <row r="31" spans="3:81" x14ac:dyDescent="0.2">
      <c r="G31" s="56"/>
      <c r="H31" s="223"/>
      <c r="J31" s="67"/>
    </row>
    <row r="32" spans="3:81" ht="12.5" x14ac:dyDescent="0.2">
      <c r="C32" s="97" t="s">
        <v>23</v>
      </c>
      <c r="H32" s="211"/>
    </row>
    <row r="33" spans="3:81" ht="12.5" x14ac:dyDescent="0.2">
      <c r="C33" s="97"/>
      <c r="D33" s="41" t="s">
        <v>216</v>
      </c>
      <c r="G33" s="41"/>
      <c r="H33" s="217">
        <f>term</f>
        <v>72</v>
      </c>
    </row>
    <row r="34" spans="3:81" x14ac:dyDescent="0.2">
      <c r="D34" s="34" t="str">
        <f>D24</f>
        <v>Opening loan balance</v>
      </c>
      <c r="G34" s="56"/>
      <c r="J34" s="66">
        <f>IF(J10=1,Key_Assumptions_BA!$L$19,I36)</f>
        <v>250000</v>
      </c>
      <c r="K34" s="66">
        <f>IF(K10=1,Key_Assumptions_BA!$L$19,J36)</f>
        <v>247054.26183826732</v>
      </c>
      <c r="L34" s="66">
        <f>IF(L10=1,Key_Assumptions_BA!$L$19,K36)</f>
        <v>243989.92369088126</v>
      </c>
      <c r="M34" s="66">
        <f>IF(M10=1,Key_Assumptions_BA!$L$19,L36)</f>
        <v>241052.40260592016</v>
      </c>
      <c r="N34" s="66">
        <f>IF(N10=1,Key_Assumptions_BA!$L$19,M36)</f>
        <v>237998.46450755661</v>
      </c>
      <c r="O34" s="66">
        <f>IF(O10=1,Key_Assumptions_BA!$L$19,N36)</f>
        <v>234999.72230414223</v>
      </c>
      <c r="P34" s="66">
        <f>IF(P10=1,Key_Assumptions_BA!$L$19,O36)</f>
        <v>231987.73634064046</v>
      </c>
      <c r="Q34" s="66">
        <f>IF(Q10=1,Key_Assumptions_BA!$L$19,P36)</f>
        <v>228929.39781915818</v>
      </c>
      <c r="R34" s="66">
        <f>IF(R10=1,Key_Assumptions_BA!$L$19,Q36)</f>
        <v>225955.83184004927</v>
      </c>
      <c r="S34" s="66">
        <f>IF(S10=1,Key_Assumptions_BA!$L$19,R36)</f>
        <v>222807.33118834157</v>
      </c>
      <c r="T34" s="66">
        <f>IF(T10=1,Key_Assumptions_BA!$L$19,S36)</f>
        <v>219741.49828106261</v>
      </c>
      <c r="U34" s="66">
        <f>IF(U10=1,Key_Assumptions_BA!$L$19,T36)</f>
        <v>216693.43094984963</v>
      </c>
      <c r="V34" s="66">
        <f>IF(V10=1,Key_Assumptions_BA!$L$19,U36)</f>
        <v>213538.85359324675</v>
      </c>
      <c r="W34" s="66">
        <f>IF(W10=1,Key_Assumptions_BA!$L$19,V36)</f>
        <v>210432.08702601356</v>
      </c>
      <c r="X34" s="66">
        <f>IF(X10=1,Key_Assumptions_BA!$L$19,W36)</f>
        <v>207311.5996157492</v>
      </c>
      <c r="Y34" s="66">
        <f>IF(Y10=1,Key_Assumptions_BA!$L$19,X36)</f>
        <v>204118.26115873037</v>
      </c>
      <c r="Z34" s="66">
        <f>IF(Z10=1,Key_Assumptions_BA!$L$19,Y36)</f>
        <v>200940.80926386788</v>
      </c>
      <c r="AA34" s="66">
        <f>IF(AA10=1,Key_Assumptions_BA!$L$19,Z36)</f>
        <v>197807.03139423131</v>
      </c>
      <c r="AB34" s="66">
        <f>IF(AB10=1,Key_Assumptions_BA!$L$19,AA36)</f>
        <v>194574.42474850549</v>
      </c>
      <c r="AC34" s="66">
        <f>IF(AC10=1,Key_Assumptions_BA!$L$19,AB36)</f>
        <v>191383.90295031964</v>
      </c>
      <c r="AD34" s="66">
        <f>IF(AD10=1,Key_Assumptions_BA!$L$19,AC36)</f>
        <v>188179.29040928811</v>
      </c>
      <c r="AE34" s="66">
        <f>IF(AE10=1,Key_Assumptions_BA!$L$19,AD36)</f>
        <v>184933.71579012665</v>
      </c>
      <c r="AF34" s="66">
        <f>IF(AF10=1,Key_Assumptions_BA!$L$19,AE36)</f>
        <v>181753.30983742373</v>
      </c>
      <c r="AG34" s="66">
        <f>IF(AG10=1,Key_Assumptions_BA!$L$19,AF36)</f>
        <v>178428.48350890554</v>
      </c>
      <c r="AH34" s="66">
        <f>IF(AH10=1,Key_Assumptions_BA!$L$19,AG36)</f>
        <v>175166.65415653275</v>
      </c>
      <c r="AI34" s="66">
        <f>IF(AI10=1,Key_Assumptions_BA!$L$19,AH36)</f>
        <v>171915.37438525615</v>
      </c>
      <c r="AJ34" s="66">
        <f>IF(AJ10=1,Key_Assumptions_BA!$L$19,AI36)</f>
        <v>168551.30412792054</v>
      </c>
      <c r="AK34" s="66">
        <f>IF(AK10=1,Key_Assumptions_BA!$L$19,AJ36)</f>
        <v>165221.84003314556</v>
      </c>
      <c r="AL34" s="66">
        <f>IF(AL10=1,Key_Assumptions_BA!$L$19,AK36)</f>
        <v>161878.1459000477</v>
      </c>
      <c r="AM34" s="66">
        <f>IF(AM10=1,Key_Assumptions_BA!$L$19,AL36)</f>
        <v>158543.22300185167</v>
      </c>
      <c r="AN34" s="66">
        <f>IF(AN10=1,Key_Assumptions_BA!$L$19,AM36)</f>
        <v>155170.98464253786</v>
      </c>
      <c r="AO34" s="66">
        <f>IF(AO10=1,Key_Assumptions_BA!$L$19,AN36)</f>
        <v>151850.65308257667</v>
      </c>
      <c r="AP34" s="66">
        <f>IF(AP10=1,Key_Assumptions_BA!$L$19,AO36)</f>
        <v>148428.17734508653</v>
      </c>
      <c r="AQ34" s="66">
        <f>IF(AQ10=1,Key_Assumptions_BA!$L$19,AP36)</f>
        <v>145012.70755776024</v>
      </c>
      <c r="AR34" s="66">
        <f>IF(AR10=1,Key_Assumptions_BA!$L$19,AQ36)</f>
        <v>141623.95883541417</v>
      </c>
      <c r="AS34" s="66">
        <f>IF(AS10=1,Key_Assumptions_BA!$L$19,AR36)</f>
        <v>138159.23144059602</v>
      </c>
      <c r="AT34" s="66">
        <f>IF(AT10=1,Key_Assumptions_BA!$L$19,AS36)</f>
        <v>134719.55541881468</v>
      </c>
      <c r="AU34" s="66">
        <f>IF(AU10=1,Key_Assumptions_BA!$L$19,AT36)</f>
        <v>131264.68827991799</v>
      </c>
      <c r="AV34" s="66">
        <f>IF(AV10=1,Key_Assumptions_BA!$L$19,AU36)</f>
        <v>127738.46076513205</v>
      </c>
      <c r="AW34" s="66">
        <f>IF(AW10=1,Key_Assumptions_BA!$L$19,AV36)</f>
        <v>124252.76205203882</v>
      </c>
      <c r="AX34" s="66">
        <f>IF(AX10=1,Key_Assumptions_BA!$L$19,AW36)</f>
        <v>120769.37072881187</v>
      </c>
      <c r="AY34" s="66">
        <f>IF(AY10=1,Key_Assumptions_BA!$L$19,AX36)</f>
        <v>117218.48246039166</v>
      </c>
      <c r="AZ34" s="66">
        <f>IF(AZ10=1,Key_Assumptions_BA!$L$19,AY36)</f>
        <v>113669.62329218833</v>
      </c>
      <c r="BA34" s="66">
        <f>IF(BA10=1,Key_Assumptions_BA!$L$19,AZ36)</f>
        <v>110137.98445417677</v>
      </c>
      <c r="BB34" s="66">
        <f>IF(BB10=1,Key_Assumptions_BA!$L$19,BA36)</f>
        <v>106558.86343148112</v>
      </c>
      <c r="BC34" s="66">
        <f>IF(BC10=1,Key_Assumptions_BA!$L$19,BB36)</f>
        <v>103009.98830988111</v>
      </c>
      <c r="BD34" s="66">
        <f>IF(BD10=1,Key_Assumptions_BA!$L$19,BC36)</f>
        <v>99371.051635762647</v>
      </c>
      <c r="BE34" s="66">
        <f>IF(BE10=1,Key_Assumptions_BA!$L$19,BD36)</f>
        <v>95745.913037185557</v>
      </c>
      <c r="BF34" s="66">
        <f>IF(BF10=1,Key_Assumptions_BA!$L$19,BE36)</f>
        <v>92146.202236471538</v>
      </c>
      <c r="BG34" s="66">
        <f>IF(BG10=1,Key_Assumptions_BA!$L$19,BF36)</f>
        <v>88477.057151376124</v>
      </c>
      <c r="BH34" s="66">
        <f>IF(BH10=1,Key_Assumptions_BA!$L$19,BG36)</f>
        <v>84780.148017622632</v>
      </c>
      <c r="BI34" s="66">
        <f>IF(BI10=1,Key_Assumptions_BA!$L$19,BH36)</f>
        <v>81153.039635046327</v>
      </c>
      <c r="BJ34" s="66">
        <f>IF(BJ10=1,Key_Assumptions_BA!$L$19,BI36)</f>
        <v>77415.353165498876</v>
      </c>
      <c r="BK34" s="66">
        <f>IF(BK10=1,Key_Assumptions_BA!$L$19,BJ36)</f>
        <v>73696.376513185867</v>
      </c>
      <c r="BL34" s="66">
        <f>IF(BL10=1,Key_Assumptions_BA!$L$19,BK36)</f>
        <v>69961.505056550639</v>
      </c>
      <c r="BM34" s="66">
        <f>IF(BM10=1,Key_Assumptions_BA!$L$19,BL36)</f>
        <v>66220.637980163607</v>
      </c>
      <c r="BN34" s="66">
        <f>IF(BN10=1,Key_Assumptions_BA!$L$19,BM36)</f>
        <v>62463.249594935107</v>
      </c>
      <c r="BO34" s="66">
        <f>IF(BO10=1,Key_Assumptions_BA!$L$19,BN36)</f>
        <v>58698.165809437975</v>
      </c>
      <c r="BP34" s="66">
        <f>IF(BP10=1,Key_Assumptions_BA!$L$19,BO36)</f>
        <v>54890.829932748129</v>
      </c>
      <c r="BQ34" s="66">
        <f>IF(BQ10=1,Key_Assumptions_BA!$L$19,BP36)</f>
        <v>51075.584085248571</v>
      </c>
      <c r="BR34" s="66">
        <f>IF(BR10=1,Key_Assumptions_BA!$L$19,BQ36)</f>
        <v>47258.585024660701</v>
      </c>
      <c r="BS34" s="66">
        <f>IF(BS10=1,Key_Assumptions_BA!$L$19,BR36)</f>
        <v>43410.719171526573</v>
      </c>
      <c r="BT34" s="66">
        <f>IF(BT10=1,Key_Assumptions_BA!$L$19,BS36)</f>
        <v>39540.223104343655</v>
      </c>
      <c r="BU34" s="66">
        <f>IF(BU10=1,Key_Assumptions_BA!$L$19,BT36)</f>
        <v>35670.635439174344</v>
      </c>
      <c r="BV34" s="66">
        <f>IF(BV10=1,Key_Assumptions_BA!$L$19,BU36)</f>
        <v>31768.161163036944</v>
      </c>
      <c r="BW34" s="66">
        <f>IF(BW10=1,Key_Assumptions_BA!$L$19,BV36)</f>
        <v>27858.615537728423</v>
      </c>
      <c r="BX34" s="66">
        <f>IF(BX10=1,Key_Assumptions_BA!$L$19,BW36)</f>
        <v>23931.803645165113</v>
      </c>
      <c r="BY34" s="66">
        <f>IF(BY10=1,Key_Assumptions_BA!$L$19,BX36)</f>
        <v>19984.239767504925</v>
      </c>
      <c r="BZ34" s="66">
        <f>IF(BZ10=1,Key_Assumptions_BA!$L$19,BY36)</f>
        <v>16028.345319309341</v>
      </c>
      <c r="CA34" s="66">
        <f>IF(CA10=1,Key_Assumptions_BA!$L$19,BZ36)</f>
        <v>12044.718787005484</v>
      </c>
      <c r="CB34" s="66">
        <f>IF(CB10=1,Key_Assumptions_BA!$L$19,CA36)</f>
        <v>8046.3498343350793</v>
      </c>
      <c r="CC34" s="66">
        <f>IF(CC10=1,Key_Assumptions_BA!$L$19,CB36)</f>
        <v>4033.1846208882498</v>
      </c>
    </row>
    <row r="35" spans="3:81" x14ac:dyDescent="0.2">
      <c r="D35" s="34" t="str">
        <f>D25</f>
        <v>Repayments</v>
      </c>
      <c r="G35" s="56"/>
      <c r="J35" s="66">
        <f t="shared" ref="J35:AO35" si="41">-J43</f>
        <v>-2945.7381617326746</v>
      </c>
      <c r="K35" s="66">
        <f t="shared" si="41"/>
        <v>-3064.3381473860522</v>
      </c>
      <c r="L35" s="66">
        <f t="shared" si="41"/>
        <v>-2937.5210849610958</v>
      </c>
      <c r="M35" s="66">
        <f t="shared" si="41"/>
        <v>-3053.9380983635583</v>
      </c>
      <c r="N35" s="66">
        <f t="shared" si="41"/>
        <v>-2998.7422034143701</v>
      </c>
      <c r="O35" s="66">
        <f t="shared" si="41"/>
        <v>-3011.9859635017783</v>
      </c>
      <c r="P35" s="66">
        <f t="shared" si="41"/>
        <v>-3058.3385214822665</v>
      </c>
      <c r="Q35" s="66">
        <f t="shared" si="41"/>
        <v>-2973.5659791089065</v>
      </c>
      <c r="R35" s="66">
        <f t="shared" si="41"/>
        <v>-3148.5006517077113</v>
      </c>
      <c r="S35" s="66">
        <f t="shared" si="41"/>
        <v>-3065.8329072789579</v>
      </c>
      <c r="T35" s="66">
        <f t="shared" si="41"/>
        <v>-3048.0673312129811</v>
      </c>
      <c r="U35" s="66">
        <f t="shared" si="41"/>
        <v>-3154.5773566028852</v>
      </c>
      <c r="V35" s="66">
        <f t="shared" si="41"/>
        <v>-3106.766567233185</v>
      </c>
      <c r="W35" s="66">
        <f t="shared" si="41"/>
        <v>-3120.487410264363</v>
      </c>
      <c r="X35" s="66">
        <f t="shared" si="41"/>
        <v>-3193.33845701884</v>
      </c>
      <c r="Y35" s="66">
        <f t="shared" si="41"/>
        <v>-3177.4518948624846</v>
      </c>
      <c r="Z35" s="66">
        <f t="shared" si="41"/>
        <v>-3133.7778696365758</v>
      </c>
      <c r="AA35" s="66">
        <f t="shared" si="41"/>
        <v>-3232.6066457258235</v>
      </c>
      <c r="AB35" s="66">
        <f t="shared" si="41"/>
        <v>-3190.5217981858505</v>
      </c>
      <c r="AC35" s="66">
        <f t="shared" si="41"/>
        <v>-3204.6125410315371</v>
      </c>
      <c r="AD35" s="66">
        <f t="shared" si="41"/>
        <v>-3245.5746191614708</v>
      </c>
      <c r="AE35" s="66">
        <f t="shared" si="41"/>
        <v>-3180.4059527029285</v>
      </c>
      <c r="AF35" s="66">
        <f t="shared" si="41"/>
        <v>-3324.8263285181847</v>
      </c>
      <c r="AG35" s="66">
        <f t="shared" si="41"/>
        <v>-3261.8293523727962</v>
      </c>
      <c r="AH35" s="66">
        <f t="shared" si="41"/>
        <v>-3251.2797712765914</v>
      </c>
      <c r="AI35" s="66">
        <f t="shared" si="41"/>
        <v>-3364.0702573355984</v>
      </c>
      <c r="AJ35" s="66">
        <f t="shared" si="41"/>
        <v>-3329.4640947749867</v>
      </c>
      <c r="AK35" s="66">
        <f t="shared" si="41"/>
        <v>-3343.6941330978607</v>
      </c>
      <c r="AL35" s="66">
        <f t="shared" si="41"/>
        <v>-3334.9228981960259</v>
      </c>
      <c r="AM35" s="66">
        <f t="shared" si="41"/>
        <v>-3372.238359313802</v>
      </c>
      <c r="AN35" s="66">
        <f t="shared" si="41"/>
        <v>-3320.3315599611819</v>
      </c>
      <c r="AO35" s="66">
        <f t="shared" si="41"/>
        <v>-3422.4757374901392</v>
      </c>
      <c r="AP35" s="66">
        <f t="shared" ref="AP35:BU35" si="42">-AP43</f>
        <v>-3415.4697873262776</v>
      </c>
      <c r="AQ35" s="66">
        <f t="shared" si="42"/>
        <v>-3388.7487223460639</v>
      </c>
      <c r="AR35" s="66">
        <f t="shared" si="42"/>
        <v>-3464.7273948181419</v>
      </c>
      <c r="AS35" s="66">
        <f t="shared" si="42"/>
        <v>-3439.6760217813303</v>
      </c>
      <c r="AT35" s="66">
        <f t="shared" si="42"/>
        <v>-3454.8671388967041</v>
      </c>
      <c r="AU35" s="66">
        <f t="shared" si="42"/>
        <v>-3526.2275147859336</v>
      </c>
      <c r="AV35" s="66">
        <f t="shared" si="42"/>
        <v>-3485.6987130932421</v>
      </c>
      <c r="AW35" s="66">
        <f t="shared" si="42"/>
        <v>-3483.3913232269415</v>
      </c>
      <c r="AX35" s="66">
        <f t="shared" si="42"/>
        <v>-3550.8882684202135</v>
      </c>
      <c r="AY35" s="66">
        <f t="shared" si="42"/>
        <v>-3548.8591682033298</v>
      </c>
      <c r="AZ35" s="66">
        <f t="shared" si="42"/>
        <v>-3531.638838011575</v>
      </c>
      <c r="BA35" s="66">
        <f t="shared" si="42"/>
        <v>-3579.1210226956455</v>
      </c>
      <c r="BB35" s="66">
        <f t="shared" si="42"/>
        <v>-3548.8751216000128</v>
      </c>
      <c r="BC35" s="66">
        <f t="shared" si="42"/>
        <v>-3638.936674118464</v>
      </c>
      <c r="BD35" s="66">
        <f t="shared" si="42"/>
        <v>-3625.1385985770867</v>
      </c>
      <c r="BE35" s="66">
        <f t="shared" si="42"/>
        <v>-3599.7108007140159</v>
      </c>
      <c r="BF35" s="66">
        <f t="shared" si="42"/>
        <v>-3669.145085095417</v>
      </c>
      <c r="BG35" s="66">
        <f t="shared" si="42"/>
        <v>-3696.9091337534869</v>
      </c>
      <c r="BH35" s="66">
        <f t="shared" si="42"/>
        <v>-3627.1083825763099</v>
      </c>
      <c r="BI35" s="66">
        <f t="shared" si="42"/>
        <v>-3737.6864695474555</v>
      </c>
      <c r="BJ35" s="66">
        <f t="shared" si="42"/>
        <v>-3718.9766523130083</v>
      </c>
      <c r="BK35" s="66">
        <f t="shared" si="42"/>
        <v>-3734.8714566352228</v>
      </c>
      <c r="BL35" s="66">
        <f t="shared" si="42"/>
        <v>-3740.8670763870318</v>
      </c>
      <c r="BM35" s="66">
        <f t="shared" si="42"/>
        <v>-3757.3883852285003</v>
      </c>
      <c r="BN35" s="66">
        <f t="shared" si="42"/>
        <v>-3765.0837854971351</v>
      </c>
      <c r="BO35" s="66">
        <f t="shared" si="42"/>
        <v>-3807.3358766898464</v>
      </c>
      <c r="BP35" s="66">
        <f t="shared" si="42"/>
        <v>-3815.2458474995597</v>
      </c>
      <c r="BQ35" s="66">
        <f t="shared" si="42"/>
        <v>-3816.9990605878702</v>
      </c>
      <c r="BR35" s="66">
        <f t="shared" si="42"/>
        <v>-3847.8658531341248</v>
      </c>
      <c r="BS35" s="66">
        <f t="shared" si="42"/>
        <v>-3870.4960671829158</v>
      </c>
      <c r="BT35" s="66">
        <f t="shared" si="42"/>
        <v>-3869.5876651693106</v>
      </c>
      <c r="BU35" s="66">
        <f t="shared" si="42"/>
        <v>-3902.4742761374009</v>
      </c>
      <c r="BV35" s="66">
        <f t="shared" ref="BV35:CC35" si="43">-BV43</f>
        <v>-3909.5456253085226</v>
      </c>
      <c r="BW35" s="66">
        <f t="shared" si="43"/>
        <v>-3926.8118925633098</v>
      </c>
      <c r="BX35" s="66">
        <f t="shared" si="43"/>
        <v>-3947.5638776601882</v>
      </c>
      <c r="BY35" s="66">
        <f t="shared" si="43"/>
        <v>-3955.8944481955832</v>
      </c>
      <c r="BZ35" s="66">
        <f t="shared" si="43"/>
        <v>-3983.6265323038569</v>
      </c>
      <c r="CA35" s="66">
        <f t="shared" si="43"/>
        <v>-3998.3689526704047</v>
      </c>
      <c r="CB35" s="66">
        <f t="shared" si="43"/>
        <v>-4013.1652134468295</v>
      </c>
      <c r="CC35" s="66">
        <f t="shared" si="43"/>
        <v>-4033.1846208880188</v>
      </c>
    </row>
    <row r="36" spans="3:81" x14ac:dyDescent="0.2">
      <c r="D36" s="34" t="str">
        <f>D26</f>
        <v>Closing loan balance</v>
      </c>
      <c r="G36" s="56"/>
      <c r="J36" s="68">
        <f t="shared" ref="J36:AO36" si="44">+J34+J35</f>
        <v>247054.26183826732</v>
      </c>
      <c r="K36" s="69">
        <f t="shared" si="44"/>
        <v>243989.92369088126</v>
      </c>
      <c r="L36" s="69">
        <f t="shared" si="44"/>
        <v>241052.40260592016</v>
      </c>
      <c r="M36" s="69">
        <f t="shared" si="44"/>
        <v>237998.46450755661</v>
      </c>
      <c r="N36" s="69">
        <f t="shared" si="44"/>
        <v>234999.72230414223</v>
      </c>
      <c r="O36" s="69">
        <f t="shared" si="44"/>
        <v>231987.73634064046</v>
      </c>
      <c r="P36" s="69">
        <f t="shared" si="44"/>
        <v>228929.39781915818</v>
      </c>
      <c r="Q36" s="69">
        <f t="shared" si="44"/>
        <v>225955.83184004927</v>
      </c>
      <c r="R36" s="69">
        <f t="shared" si="44"/>
        <v>222807.33118834157</v>
      </c>
      <c r="S36" s="69">
        <f t="shared" si="44"/>
        <v>219741.49828106261</v>
      </c>
      <c r="T36" s="69">
        <f t="shared" si="44"/>
        <v>216693.43094984963</v>
      </c>
      <c r="U36" s="69">
        <f t="shared" si="44"/>
        <v>213538.85359324675</v>
      </c>
      <c r="V36" s="69">
        <f t="shared" si="44"/>
        <v>210432.08702601356</v>
      </c>
      <c r="W36" s="69">
        <f t="shared" si="44"/>
        <v>207311.5996157492</v>
      </c>
      <c r="X36" s="69">
        <f t="shared" si="44"/>
        <v>204118.26115873037</v>
      </c>
      <c r="Y36" s="69">
        <f t="shared" si="44"/>
        <v>200940.80926386788</v>
      </c>
      <c r="Z36" s="69">
        <f t="shared" si="44"/>
        <v>197807.03139423131</v>
      </c>
      <c r="AA36" s="69">
        <f t="shared" si="44"/>
        <v>194574.42474850549</v>
      </c>
      <c r="AB36" s="69">
        <f t="shared" si="44"/>
        <v>191383.90295031964</v>
      </c>
      <c r="AC36" s="69">
        <f t="shared" si="44"/>
        <v>188179.29040928811</v>
      </c>
      <c r="AD36" s="69">
        <f t="shared" si="44"/>
        <v>184933.71579012665</v>
      </c>
      <c r="AE36" s="69">
        <f t="shared" si="44"/>
        <v>181753.30983742373</v>
      </c>
      <c r="AF36" s="69">
        <f t="shared" si="44"/>
        <v>178428.48350890554</v>
      </c>
      <c r="AG36" s="69">
        <f t="shared" si="44"/>
        <v>175166.65415653275</v>
      </c>
      <c r="AH36" s="69">
        <f t="shared" si="44"/>
        <v>171915.37438525615</v>
      </c>
      <c r="AI36" s="69">
        <f t="shared" si="44"/>
        <v>168551.30412792054</v>
      </c>
      <c r="AJ36" s="69">
        <f t="shared" si="44"/>
        <v>165221.84003314556</v>
      </c>
      <c r="AK36" s="69">
        <f t="shared" si="44"/>
        <v>161878.1459000477</v>
      </c>
      <c r="AL36" s="69">
        <f t="shared" si="44"/>
        <v>158543.22300185167</v>
      </c>
      <c r="AM36" s="69">
        <f t="shared" si="44"/>
        <v>155170.98464253786</v>
      </c>
      <c r="AN36" s="69">
        <f t="shared" si="44"/>
        <v>151850.65308257667</v>
      </c>
      <c r="AO36" s="69">
        <f t="shared" si="44"/>
        <v>148428.17734508653</v>
      </c>
      <c r="AP36" s="69">
        <f t="shared" ref="AP36:BU36" si="45">+AP34+AP35</f>
        <v>145012.70755776024</v>
      </c>
      <c r="AQ36" s="69">
        <f t="shared" si="45"/>
        <v>141623.95883541417</v>
      </c>
      <c r="AR36" s="69">
        <f t="shared" si="45"/>
        <v>138159.23144059602</v>
      </c>
      <c r="AS36" s="69">
        <f t="shared" si="45"/>
        <v>134719.55541881468</v>
      </c>
      <c r="AT36" s="69">
        <f t="shared" si="45"/>
        <v>131264.68827991799</v>
      </c>
      <c r="AU36" s="69">
        <f t="shared" si="45"/>
        <v>127738.46076513205</v>
      </c>
      <c r="AV36" s="69">
        <f t="shared" si="45"/>
        <v>124252.76205203882</v>
      </c>
      <c r="AW36" s="69">
        <f t="shared" si="45"/>
        <v>120769.37072881187</v>
      </c>
      <c r="AX36" s="69">
        <f t="shared" si="45"/>
        <v>117218.48246039166</v>
      </c>
      <c r="AY36" s="69">
        <f t="shared" si="45"/>
        <v>113669.62329218833</v>
      </c>
      <c r="AZ36" s="69">
        <f t="shared" si="45"/>
        <v>110137.98445417677</v>
      </c>
      <c r="BA36" s="69">
        <f t="shared" si="45"/>
        <v>106558.86343148112</v>
      </c>
      <c r="BB36" s="69">
        <f t="shared" si="45"/>
        <v>103009.98830988111</v>
      </c>
      <c r="BC36" s="69">
        <f t="shared" si="45"/>
        <v>99371.051635762647</v>
      </c>
      <c r="BD36" s="69">
        <f t="shared" si="45"/>
        <v>95745.913037185557</v>
      </c>
      <c r="BE36" s="69">
        <f t="shared" si="45"/>
        <v>92146.202236471538</v>
      </c>
      <c r="BF36" s="69">
        <f t="shared" si="45"/>
        <v>88477.057151376124</v>
      </c>
      <c r="BG36" s="69">
        <f t="shared" si="45"/>
        <v>84780.148017622632</v>
      </c>
      <c r="BH36" s="69">
        <f t="shared" si="45"/>
        <v>81153.039635046327</v>
      </c>
      <c r="BI36" s="69">
        <f t="shared" si="45"/>
        <v>77415.353165498876</v>
      </c>
      <c r="BJ36" s="69">
        <f t="shared" si="45"/>
        <v>73696.376513185867</v>
      </c>
      <c r="BK36" s="69">
        <f t="shared" si="45"/>
        <v>69961.505056550639</v>
      </c>
      <c r="BL36" s="69">
        <f t="shared" si="45"/>
        <v>66220.637980163607</v>
      </c>
      <c r="BM36" s="69">
        <f t="shared" si="45"/>
        <v>62463.249594935107</v>
      </c>
      <c r="BN36" s="69">
        <f t="shared" si="45"/>
        <v>58698.165809437975</v>
      </c>
      <c r="BO36" s="69">
        <f t="shared" si="45"/>
        <v>54890.829932748129</v>
      </c>
      <c r="BP36" s="69">
        <f t="shared" si="45"/>
        <v>51075.584085248571</v>
      </c>
      <c r="BQ36" s="69">
        <f t="shared" si="45"/>
        <v>47258.585024660701</v>
      </c>
      <c r="BR36" s="69">
        <f t="shared" si="45"/>
        <v>43410.719171526573</v>
      </c>
      <c r="BS36" s="69">
        <f t="shared" si="45"/>
        <v>39540.223104343655</v>
      </c>
      <c r="BT36" s="69">
        <f t="shared" si="45"/>
        <v>35670.635439174344</v>
      </c>
      <c r="BU36" s="69">
        <f t="shared" si="45"/>
        <v>31768.161163036944</v>
      </c>
      <c r="BV36" s="69">
        <f t="shared" ref="BV36:CC36" si="46">+BV34+BV35</f>
        <v>27858.615537728423</v>
      </c>
      <c r="BW36" s="69">
        <f t="shared" si="46"/>
        <v>23931.803645165113</v>
      </c>
      <c r="BX36" s="69">
        <f t="shared" si="46"/>
        <v>19984.239767504925</v>
      </c>
      <c r="BY36" s="69">
        <f t="shared" si="46"/>
        <v>16028.345319309341</v>
      </c>
      <c r="BZ36" s="69">
        <f t="shared" si="46"/>
        <v>12044.718787005484</v>
      </c>
      <c r="CA36" s="69">
        <f t="shared" si="46"/>
        <v>8046.3498343350793</v>
      </c>
      <c r="CB36" s="69">
        <f t="shared" si="46"/>
        <v>4033.1846208882498</v>
      </c>
      <c r="CC36" s="69">
        <f t="shared" si="46"/>
        <v>2.3101165425032377E-10</v>
      </c>
    </row>
    <row r="37" spans="3:81" x14ac:dyDescent="0.2">
      <c r="D37" s="98" t="s">
        <v>222</v>
      </c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116">
        <f>IF(ISERROR(ROUND(CC36,4)),1,MIN(ROUND(CC36,4),1))</f>
        <v>0</v>
      </c>
    </row>
    <row r="38" spans="3:81" x14ac:dyDescent="0.2">
      <c r="G38" s="56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</row>
    <row r="39" spans="3:81" x14ac:dyDescent="0.2">
      <c r="F39" s="71" t="s">
        <v>30</v>
      </c>
      <c r="G39" s="71" t="s">
        <v>29</v>
      </c>
      <c r="H39" s="72" t="s">
        <v>28</v>
      </c>
      <c r="CC39" s="66"/>
    </row>
    <row r="40" spans="3:81" x14ac:dyDescent="0.2">
      <c r="D40" s="42" t="s">
        <v>27</v>
      </c>
      <c r="F40" s="208">
        <f>H40-target_bal</f>
        <v>2.3101165425032377E-10</v>
      </c>
      <c r="G40" s="209">
        <v>0</v>
      </c>
      <c r="H40" s="210">
        <f>CC36</f>
        <v>2.3101165425032377E-10</v>
      </c>
    </row>
    <row r="41" spans="3:81" x14ac:dyDescent="0.2">
      <c r="D41" s="42" t="s">
        <v>25</v>
      </c>
      <c r="F41" s="211"/>
      <c r="G41" s="211"/>
      <c r="H41" s="212">
        <v>4049.8477507737707</v>
      </c>
      <c r="J41" s="66">
        <f t="shared" ref="J41:AO41" si="47">IF(J10&gt;term,0,pmt_gseek)</f>
        <v>4049.8477507737707</v>
      </c>
      <c r="K41" s="66">
        <f t="shared" si="47"/>
        <v>4049.8477507737707</v>
      </c>
      <c r="L41" s="66">
        <f t="shared" si="47"/>
        <v>4049.8477507737707</v>
      </c>
      <c r="M41" s="66">
        <f t="shared" si="47"/>
        <v>4049.8477507737707</v>
      </c>
      <c r="N41" s="66">
        <f t="shared" si="47"/>
        <v>4049.8477507737707</v>
      </c>
      <c r="O41" s="66">
        <f t="shared" si="47"/>
        <v>4049.8477507737707</v>
      </c>
      <c r="P41" s="66">
        <f t="shared" si="47"/>
        <v>4049.8477507737707</v>
      </c>
      <c r="Q41" s="66">
        <f t="shared" si="47"/>
        <v>4049.8477507737707</v>
      </c>
      <c r="R41" s="66">
        <f t="shared" si="47"/>
        <v>4049.8477507737707</v>
      </c>
      <c r="S41" s="66">
        <f t="shared" si="47"/>
        <v>4049.8477507737707</v>
      </c>
      <c r="T41" s="66">
        <f t="shared" si="47"/>
        <v>4049.8477507737707</v>
      </c>
      <c r="U41" s="66">
        <f t="shared" si="47"/>
        <v>4049.8477507737707</v>
      </c>
      <c r="V41" s="66">
        <f t="shared" si="47"/>
        <v>4049.8477507737707</v>
      </c>
      <c r="W41" s="66">
        <f t="shared" si="47"/>
        <v>4049.8477507737707</v>
      </c>
      <c r="X41" s="66">
        <f t="shared" si="47"/>
        <v>4049.8477507737707</v>
      </c>
      <c r="Y41" s="66">
        <f t="shared" si="47"/>
        <v>4049.8477507737707</v>
      </c>
      <c r="Z41" s="66">
        <f t="shared" si="47"/>
        <v>4049.8477507737707</v>
      </c>
      <c r="AA41" s="66">
        <f t="shared" si="47"/>
        <v>4049.8477507737707</v>
      </c>
      <c r="AB41" s="66">
        <f t="shared" si="47"/>
        <v>4049.8477507737707</v>
      </c>
      <c r="AC41" s="66">
        <f t="shared" si="47"/>
        <v>4049.8477507737707</v>
      </c>
      <c r="AD41" s="66">
        <f t="shared" si="47"/>
        <v>4049.8477507737707</v>
      </c>
      <c r="AE41" s="66">
        <f t="shared" si="47"/>
        <v>4049.8477507737707</v>
      </c>
      <c r="AF41" s="66">
        <f t="shared" si="47"/>
        <v>4049.8477507737707</v>
      </c>
      <c r="AG41" s="66">
        <f t="shared" si="47"/>
        <v>4049.8477507737707</v>
      </c>
      <c r="AH41" s="66">
        <f t="shared" si="47"/>
        <v>4049.8477507737707</v>
      </c>
      <c r="AI41" s="66">
        <f t="shared" si="47"/>
        <v>4049.8477507737707</v>
      </c>
      <c r="AJ41" s="66">
        <f t="shared" si="47"/>
        <v>4049.8477507737707</v>
      </c>
      <c r="AK41" s="66">
        <f t="shared" si="47"/>
        <v>4049.8477507737707</v>
      </c>
      <c r="AL41" s="66">
        <f t="shared" si="47"/>
        <v>4049.8477507737707</v>
      </c>
      <c r="AM41" s="66">
        <f t="shared" si="47"/>
        <v>4049.8477507737707</v>
      </c>
      <c r="AN41" s="66">
        <f t="shared" si="47"/>
        <v>4049.8477507737707</v>
      </c>
      <c r="AO41" s="66">
        <f t="shared" si="47"/>
        <v>4049.8477507737707</v>
      </c>
      <c r="AP41" s="66">
        <f t="shared" ref="AP41:BU41" si="48">IF(AP10&gt;term,0,pmt_gseek)</f>
        <v>4049.8477507737707</v>
      </c>
      <c r="AQ41" s="66">
        <f t="shared" si="48"/>
        <v>4049.8477507737707</v>
      </c>
      <c r="AR41" s="66">
        <f t="shared" si="48"/>
        <v>4049.8477507737707</v>
      </c>
      <c r="AS41" s="66">
        <f t="shared" si="48"/>
        <v>4049.8477507737707</v>
      </c>
      <c r="AT41" s="66">
        <f t="shared" si="48"/>
        <v>4049.8477507737707</v>
      </c>
      <c r="AU41" s="66">
        <f t="shared" si="48"/>
        <v>4049.8477507737707</v>
      </c>
      <c r="AV41" s="66">
        <f t="shared" si="48"/>
        <v>4049.8477507737707</v>
      </c>
      <c r="AW41" s="66">
        <f t="shared" si="48"/>
        <v>4049.8477507737707</v>
      </c>
      <c r="AX41" s="66">
        <f t="shared" si="48"/>
        <v>4049.8477507737707</v>
      </c>
      <c r="AY41" s="66">
        <f t="shared" si="48"/>
        <v>4049.8477507737707</v>
      </c>
      <c r="AZ41" s="66">
        <f t="shared" si="48"/>
        <v>4049.8477507737707</v>
      </c>
      <c r="BA41" s="66">
        <f t="shared" si="48"/>
        <v>4049.8477507737707</v>
      </c>
      <c r="BB41" s="66">
        <f t="shared" si="48"/>
        <v>4049.8477507737707</v>
      </c>
      <c r="BC41" s="66">
        <f t="shared" si="48"/>
        <v>4049.8477507737707</v>
      </c>
      <c r="BD41" s="66">
        <f t="shared" si="48"/>
        <v>4049.8477507737707</v>
      </c>
      <c r="BE41" s="66">
        <f t="shared" si="48"/>
        <v>4049.8477507737707</v>
      </c>
      <c r="BF41" s="66">
        <f t="shared" si="48"/>
        <v>4049.8477507737707</v>
      </c>
      <c r="BG41" s="66">
        <f t="shared" si="48"/>
        <v>4049.8477507737707</v>
      </c>
      <c r="BH41" s="66">
        <f t="shared" si="48"/>
        <v>4049.8477507737707</v>
      </c>
      <c r="BI41" s="66">
        <f t="shared" si="48"/>
        <v>4049.8477507737707</v>
      </c>
      <c r="BJ41" s="66">
        <f t="shared" si="48"/>
        <v>4049.8477507737707</v>
      </c>
      <c r="BK41" s="66">
        <f t="shared" si="48"/>
        <v>4049.8477507737707</v>
      </c>
      <c r="BL41" s="66">
        <f t="shared" si="48"/>
        <v>4049.8477507737707</v>
      </c>
      <c r="BM41" s="66">
        <f t="shared" si="48"/>
        <v>4049.8477507737707</v>
      </c>
      <c r="BN41" s="66">
        <f t="shared" si="48"/>
        <v>4049.8477507737707</v>
      </c>
      <c r="BO41" s="66">
        <f t="shared" si="48"/>
        <v>4049.8477507737707</v>
      </c>
      <c r="BP41" s="66">
        <f t="shared" si="48"/>
        <v>4049.8477507737707</v>
      </c>
      <c r="BQ41" s="66">
        <f t="shared" si="48"/>
        <v>4049.8477507737707</v>
      </c>
      <c r="BR41" s="66">
        <f t="shared" si="48"/>
        <v>4049.8477507737707</v>
      </c>
      <c r="BS41" s="66">
        <f t="shared" si="48"/>
        <v>4049.8477507737707</v>
      </c>
      <c r="BT41" s="66">
        <f t="shared" si="48"/>
        <v>4049.8477507737707</v>
      </c>
      <c r="BU41" s="66">
        <f t="shared" si="48"/>
        <v>4049.8477507737707</v>
      </c>
      <c r="BV41" s="66">
        <f t="shared" ref="BV41:CC41" si="49">IF(BV10&gt;term,0,pmt_gseek)</f>
        <v>4049.8477507737707</v>
      </c>
      <c r="BW41" s="66">
        <f t="shared" si="49"/>
        <v>4049.8477507737707</v>
      </c>
      <c r="BX41" s="66">
        <f t="shared" si="49"/>
        <v>4049.8477507737707</v>
      </c>
      <c r="BY41" s="66">
        <f t="shared" si="49"/>
        <v>4049.8477507737707</v>
      </c>
      <c r="BZ41" s="66">
        <f t="shared" si="49"/>
        <v>4049.8477507737707</v>
      </c>
      <c r="CA41" s="66">
        <f t="shared" si="49"/>
        <v>4049.8477507737707</v>
      </c>
      <c r="CB41" s="66">
        <f t="shared" si="49"/>
        <v>4049.8477507737707</v>
      </c>
      <c r="CC41" s="66">
        <f t="shared" si="49"/>
        <v>4049.8477507737707</v>
      </c>
    </row>
    <row r="42" spans="3:81" x14ac:dyDescent="0.2">
      <c r="D42" s="44" t="str">
        <f>D29</f>
        <v>Interest charged</v>
      </c>
      <c r="F42" s="211"/>
      <c r="G42" s="211"/>
      <c r="H42" s="213">
        <f>SUM(J42:CC42)</f>
        <v>41589.038055711739</v>
      </c>
      <c r="J42" s="51">
        <f t="shared" ref="J42:AO42" si="50">J34*int*J14/days_in_yr</f>
        <v>1104.1095890410959</v>
      </c>
      <c r="K42" s="51">
        <f t="shared" si="50"/>
        <v>985.50960338771847</v>
      </c>
      <c r="L42" s="51">
        <f t="shared" si="50"/>
        <v>1112.3266658126752</v>
      </c>
      <c r="M42" s="51">
        <f t="shared" si="50"/>
        <v>995.90965241021252</v>
      </c>
      <c r="N42" s="51">
        <f t="shared" si="50"/>
        <v>1051.1055473594006</v>
      </c>
      <c r="O42" s="51">
        <f t="shared" si="50"/>
        <v>1037.8617872719924</v>
      </c>
      <c r="P42" s="51">
        <f t="shared" si="50"/>
        <v>991.50922929150443</v>
      </c>
      <c r="Q42" s="51">
        <f t="shared" si="50"/>
        <v>1076.2817716648642</v>
      </c>
      <c r="R42" s="51">
        <f t="shared" si="50"/>
        <v>901.34709906605951</v>
      </c>
      <c r="S42" s="51">
        <f t="shared" si="50"/>
        <v>984.01484349481268</v>
      </c>
      <c r="T42" s="51">
        <f t="shared" si="50"/>
        <v>1001.7804195607895</v>
      </c>
      <c r="U42" s="51">
        <f t="shared" si="50"/>
        <v>895.27039417088565</v>
      </c>
      <c r="V42" s="51">
        <f t="shared" si="50"/>
        <v>943.08118354058558</v>
      </c>
      <c r="W42" s="51">
        <f t="shared" si="50"/>
        <v>929.36034050940771</v>
      </c>
      <c r="X42" s="51">
        <f t="shared" si="50"/>
        <v>856.50929375493081</v>
      </c>
      <c r="Y42" s="51">
        <f t="shared" si="50"/>
        <v>872.39585591128593</v>
      </c>
      <c r="Z42" s="51">
        <f t="shared" si="50"/>
        <v>916.0698811371949</v>
      </c>
      <c r="AA42" s="51">
        <f t="shared" si="50"/>
        <v>817.24110504794737</v>
      </c>
      <c r="AB42" s="51">
        <f t="shared" si="50"/>
        <v>859.32595258792003</v>
      </c>
      <c r="AC42" s="51">
        <f t="shared" si="50"/>
        <v>845.23520974223356</v>
      </c>
      <c r="AD42" s="51">
        <f t="shared" si="50"/>
        <v>804.27313161229984</v>
      </c>
      <c r="AE42" s="51">
        <f t="shared" si="50"/>
        <v>869.44179807084197</v>
      </c>
      <c r="AF42" s="51">
        <f t="shared" si="50"/>
        <v>725.021422255586</v>
      </c>
      <c r="AG42" s="51">
        <f t="shared" si="50"/>
        <v>788.01839840097455</v>
      </c>
      <c r="AH42" s="51">
        <f t="shared" si="50"/>
        <v>798.56797949717941</v>
      </c>
      <c r="AI42" s="51">
        <f t="shared" si="50"/>
        <v>685.77749343817243</v>
      </c>
      <c r="AJ42" s="51">
        <f t="shared" si="50"/>
        <v>720.38365599878375</v>
      </c>
      <c r="AK42" s="51">
        <f t="shared" si="50"/>
        <v>706.1536176759098</v>
      </c>
      <c r="AL42" s="51">
        <f t="shared" si="50"/>
        <v>714.9248525777449</v>
      </c>
      <c r="AM42" s="51">
        <f t="shared" si="50"/>
        <v>677.60939145996861</v>
      </c>
      <c r="AN42" s="51">
        <f t="shared" si="50"/>
        <v>729.51619081258889</v>
      </c>
      <c r="AO42" s="51">
        <f t="shared" si="50"/>
        <v>627.37201328363176</v>
      </c>
      <c r="AP42" s="51">
        <f t="shared" ref="AP42:BU42" si="51">AP34*int*AP14/days_in_yr</f>
        <v>634.37796344749302</v>
      </c>
      <c r="AQ42" s="51">
        <f t="shared" si="51"/>
        <v>661.09902842770691</v>
      </c>
      <c r="AR42" s="51">
        <f t="shared" si="51"/>
        <v>585.12035595562895</v>
      </c>
      <c r="AS42" s="51">
        <f t="shared" si="51"/>
        <v>610.17172899244042</v>
      </c>
      <c r="AT42" s="51">
        <f t="shared" si="51"/>
        <v>594.98061187706639</v>
      </c>
      <c r="AU42" s="51">
        <f t="shared" si="51"/>
        <v>523.62023598783719</v>
      </c>
      <c r="AV42" s="51">
        <f t="shared" si="51"/>
        <v>564.14903768052841</v>
      </c>
      <c r="AW42" s="51">
        <f t="shared" si="51"/>
        <v>566.45642754682899</v>
      </c>
      <c r="AX42" s="51">
        <f t="shared" si="51"/>
        <v>498.95948235355701</v>
      </c>
      <c r="AY42" s="51">
        <f t="shared" si="51"/>
        <v>500.988582570441</v>
      </c>
      <c r="AZ42" s="51">
        <f t="shared" si="51"/>
        <v>518.2089127621955</v>
      </c>
      <c r="BA42" s="51">
        <f t="shared" si="51"/>
        <v>470.72672807812535</v>
      </c>
      <c r="BB42" s="51">
        <f t="shared" si="51"/>
        <v>500.97262917375781</v>
      </c>
      <c r="BC42" s="51">
        <f t="shared" si="51"/>
        <v>410.91107665530654</v>
      </c>
      <c r="BD42" s="51">
        <f t="shared" si="51"/>
        <v>424.7091521966841</v>
      </c>
      <c r="BE42" s="51">
        <f t="shared" si="51"/>
        <v>450.13695005975455</v>
      </c>
      <c r="BF42" s="51">
        <f t="shared" si="51"/>
        <v>380.70266567835358</v>
      </c>
      <c r="BG42" s="51">
        <f t="shared" si="51"/>
        <v>352.93861702028391</v>
      </c>
      <c r="BH42" s="51">
        <f t="shared" si="51"/>
        <v>422.73936819746081</v>
      </c>
      <c r="BI42" s="51">
        <f t="shared" si="51"/>
        <v>312.16128122631517</v>
      </c>
      <c r="BJ42" s="51">
        <f t="shared" si="51"/>
        <v>330.87109846076231</v>
      </c>
      <c r="BK42" s="51">
        <f t="shared" si="51"/>
        <v>314.97629413854776</v>
      </c>
      <c r="BL42" s="51">
        <f t="shared" si="51"/>
        <v>308.98067438673871</v>
      </c>
      <c r="BM42" s="51">
        <f t="shared" si="51"/>
        <v>292.45936554527049</v>
      </c>
      <c r="BN42" s="51">
        <f t="shared" si="51"/>
        <v>284.76396527663564</v>
      </c>
      <c r="BO42" s="51">
        <f t="shared" si="51"/>
        <v>242.51187408392454</v>
      </c>
      <c r="BP42" s="51">
        <f t="shared" si="51"/>
        <v>234.60190327421117</v>
      </c>
      <c r="BQ42" s="51">
        <f t="shared" si="51"/>
        <v>232.84869018590032</v>
      </c>
      <c r="BR42" s="51">
        <f t="shared" si="51"/>
        <v>201.98189763964572</v>
      </c>
      <c r="BS42" s="51">
        <f t="shared" si="51"/>
        <v>179.35168359085498</v>
      </c>
      <c r="BT42" s="51">
        <f t="shared" si="51"/>
        <v>180.26008560445985</v>
      </c>
      <c r="BU42" s="51">
        <f t="shared" si="51"/>
        <v>147.37347463636962</v>
      </c>
      <c r="BV42" s="51">
        <f t="shared" ref="BV42:CC42" si="52">BV34*int*BV14/days_in_yr</f>
        <v>140.30212546524808</v>
      </c>
      <c r="BW42" s="51">
        <f t="shared" si="52"/>
        <v>123.03585821046087</v>
      </c>
      <c r="BX42" s="51">
        <f t="shared" si="52"/>
        <v>102.2838731135824</v>
      </c>
      <c r="BY42" s="51">
        <f t="shared" si="52"/>
        <v>93.953302578187532</v>
      </c>
      <c r="BZ42" s="51">
        <f t="shared" si="52"/>
        <v>66.221218469913666</v>
      </c>
      <c r="CA42" s="51">
        <f t="shared" si="52"/>
        <v>51.478798103365897</v>
      </c>
      <c r="CB42" s="51">
        <f t="shared" si="52"/>
        <v>36.682537326941294</v>
      </c>
      <c r="CC42" s="51">
        <f t="shared" si="52"/>
        <v>16.663129885752003</v>
      </c>
    </row>
    <row r="43" spans="3:81" x14ac:dyDescent="0.2">
      <c r="D43" s="42" t="s">
        <v>26</v>
      </c>
      <c r="F43" s="211"/>
      <c r="G43" s="211"/>
      <c r="H43" s="213">
        <f>SUM(J43:CC43)</f>
        <v>249999.99999999977</v>
      </c>
      <c r="J43" s="66">
        <f t="shared" ref="J43:BU43" si="53">J41-J42</f>
        <v>2945.7381617326746</v>
      </c>
      <c r="K43" s="66">
        <f t="shared" si="53"/>
        <v>3064.3381473860522</v>
      </c>
      <c r="L43" s="66">
        <f t="shared" si="53"/>
        <v>2937.5210849610958</v>
      </c>
      <c r="M43" s="66">
        <f t="shared" si="53"/>
        <v>3053.9380983635583</v>
      </c>
      <c r="N43" s="66">
        <f t="shared" si="53"/>
        <v>2998.7422034143701</v>
      </c>
      <c r="O43" s="66">
        <f t="shared" si="53"/>
        <v>3011.9859635017783</v>
      </c>
      <c r="P43" s="66">
        <f t="shared" si="53"/>
        <v>3058.3385214822665</v>
      </c>
      <c r="Q43" s="66">
        <f t="shared" si="53"/>
        <v>2973.5659791089065</v>
      </c>
      <c r="R43" s="66">
        <f t="shared" si="53"/>
        <v>3148.5006517077113</v>
      </c>
      <c r="S43" s="66">
        <f t="shared" si="53"/>
        <v>3065.8329072789579</v>
      </c>
      <c r="T43" s="66">
        <f t="shared" si="53"/>
        <v>3048.0673312129811</v>
      </c>
      <c r="U43" s="66">
        <f t="shared" si="53"/>
        <v>3154.5773566028852</v>
      </c>
      <c r="V43" s="66">
        <f t="shared" si="53"/>
        <v>3106.766567233185</v>
      </c>
      <c r="W43" s="66">
        <f t="shared" si="53"/>
        <v>3120.487410264363</v>
      </c>
      <c r="X43" s="66">
        <f t="shared" si="53"/>
        <v>3193.33845701884</v>
      </c>
      <c r="Y43" s="66">
        <f t="shared" si="53"/>
        <v>3177.4518948624846</v>
      </c>
      <c r="Z43" s="66">
        <f t="shared" si="53"/>
        <v>3133.7778696365758</v>
      </c>
      <c r="AA43" s="66">
        <f t="shared" si="53"/>
        <v>3232.6066457258235</v>
      </c>
      <c r="AB43" s="66">
        <f t="shared" si="53"/>
        <v>3190.5217981858505</v>
      </c>
      <c r="AC43" s="66">
        <f t="shared" si="53"/>
        <v>3204.6125410315371</v>
      </c>
      <c r="AD43" s="66">
        <f t="shared" si="53"/>
        <v>3245.5746191614708</v>
      </c>
      <c r="AE43" s="66">
        <f t="shared" si="53"/>
        <v>3180.4059527029285</v>
      </c>
      <c r="AF43" s="66">
        <f t="shared" si="53"/>
        <v>3324.8263285181847</v>
      </c>
      <c r="AG43" s="66">
        <f t="shared" si="53"/>
        <v>3261.8293523727962</v>
      </c>
      <c r="AH43" s="66">
        <f t="shared" si="53"/>
        <v>3251.2797712765914</v>
      </c>
      <c r="AI43" s="66">
        <f t="shared" si="53"/>
        <v>3364.0702573355984</v>
      </c>
      <c r="AJ43" s="66">
        <f t="shared" si="53"/>
        <v>3329.4640947749867</v>
      </c>
      <c r="AK43" s="66">
        <f t="shared" si="53"/>
        <v>3343.6941330978607</v>
      </c>
      <c r="AL43" s="66">
        <f t="shared" si="53"/>
        <v>3334.9228981960259</v>
      </c>
      <c r="AM43" s="66">
        <f t="shared" si="53"/>
        <v>3372.238359313802</v>
      </c>
      <c r="AN43" s="66">
        <f t="shared" si="53"/>
        <v>3320.3315599611819</v>
      </c>
      <c r="AO43" s="66">
        <f t="shared" si="53"/>
        <v>3422.4757374901392</v>
      </c>
      <c r="AP43" s="66">
        <f t="shared" si="53"/>
        <v>3415.4697873262776</v>
      </c>
      <c r="AQ43" s="66">
        <f t="shared" si="53"/>
        <v>3388.7487223460639</v>
      </c>
      <c r="AR43" s="66">
        <f t="shared" si="53"/>
        <v>3464.7273948181419</v>
      </c>
      <c r="AS43" s="66">
        <f t="shared" si="53"/>
        <v>3439.6760217813303</v>
      </c>
      <c r="AT43" s="66">
        <f t="shared" si="53"/>
        <v>3454.8671388967041</v>
      </c>
      <c r="AU43" s="66">
        <f t="shared" si="53"/>
        <v>3526.2275147859336</v>
      </c>
      <c r="AV43" s="66">
        <f t="shared" si="53"/>
        <v>3485.6987130932421</v>
      </c>
      <c r="AW43" s="66">
        <f t="shared" si="53"/>
        <v>3483.3913232269415</v>
      </c>
      <c r="AX43" s="66">
        <f t="shared" si="53"/>
        <v>3550.8882684202135</v>
      </c>
      <c r="AY43" s="66">
        <f t="shared" si="53"/>
        <v>3548.8591682033298</v>
      </c>
      <c r="AZ43" s="66">
        <f t="shared" si="53"/>
        <v>3531.638838011575</v>
      </c>
      <c r="BA43" s="66">
        <f t="shared" si="53"/>
        <v>3579.1210226956455</v>
      </c>
      <c r="BB43" s="66">
        <f t="shared" si="53"/>
        <v>3548.8751216000128</v>
      </c>
      <c r="BC43" s="66">
        <f t="shared" si="53"/>
        <v>3638.936674118464</v>
      </c>
      <c r="BD43" s="66">
        <f t="shared" si="53"/>
        <v>3625.1385985770867</v>
      </c>
      <c r="BE43" s="66">
        <f t="shared" si="53"/>
        <v>3599.7108007140159</v>
      </c>
      <c r="BF43" s="66">
        <f t="shared" si="53"/>
        <v>3669.145085095417</v>
      </c>
      <c r="BG43" s="66">
        <f t="shared" si="53"/>
        <v>3696.9091337534869</v>
      </c>
      <c r="BH43" s="66">
        <f t="shared" si="53"/>
        <v>3627.1083825763099</v>
      </c>
      <c r="BI43" s="66">
        <f t="shared" si="53"/>
        <v>3737.6864695474555</v>
      </c>
      <c r="BJ43" s="66">
        <f t="shared" si="53"/>
        <v>3718.9766523130083</v>
      </c>
      <c r="BK43" s="66">
        <f t="shared" si="53"/>
        <v>3734.8714566352228</v>
      </c>
      <c r="BL43" s="66">
        <f t="shared" si="53"/>
        <v>3740.8670763870318</v>
      </c>
      <c r="BM43" s="66">
        <f t="shared" si="53"/>
        <v>3757.3883852285003</v>
      </c>
      <c r="BN43" s="66">
        <f t="shared" si="53"/>
        <v>3765.0837854971351</v>
      </c>
      <c r="BO43" s="66">
        <f t="shared" si="53"/>
        <v>3807.3358766898464</v>
      </c>
      <c r="BP43" s="66">
        <f t="shared" si="53"/>
        <v>3815.2458474995597</v>
      </c>
      <c r="BQ43" s="66">
        <f t="shared" si="53"/>
        <v>3816.9990605878702</v>
      </c>
      <c r="BR43" s="66">
        <f t="shared" si="53"/>
        <v>3847.8658531341248</v>
      </c>
      <c r="BS43" s="66">
        <f t="shared" si="53"/>
        <v>3870.4960671829158</v>
      </c>
      <c r="BT43" s="66">
        <f t="shared" si="53"/>
        <v>3869.5876651693106</v>
      </c>
      <c r="BU43" s="66">
        <f t="shared" si="53"/>
        <v>3902.4742761374009</v>
      </c>
      <c r="BV43" s="66">
        <f t="shared" ref="BV43:CC43" si="54">BV41-BV42</f>
        <v>3909.5456253085226</v>
      </c>
      <c r="BW43" s="66">
        <f t="shared" si="54"/>
        <v>3926.8118925633098</v>
      </c>
      <c r="BX43" s="66">
        <f t="shared" si="54"/>
        <v>3947.5638776601882</v>
      </c>
      <c r="BY43" s="66">
        <f t="shared" si="54"/>
        <v>3955.8944481955832</v>
      </c>
      <c r="BZ43" s="66">
        <f t="shared" si="54"/>
        <v>3983.6265323038569</v>
      </c>
      <c r="CA43" s="66">
        <f t="shared" si="54"/>
        <v>3998.3689526704047</v>
      </c>
      <c r="CB43" s="66">
        <f t="shared" si="54"/>
        <v>4013.1652134468295</v>
      </c>
      <c r="CC43" s="66">
        <f t="shared" si="54"/>
        <v>4033.1846208880188</v>
      </c>
    </row>
    <row r="44" spans="3:81" x14ac:dyDescent="0.2">
      <c r="G44" s="56"/>
    </row>
    <row r="45" spans="3:81" x14ac:dyDescent="0.2">
      <c r="D45" s="42" t="s">
        <v>63</v>
      </c>
      <c r="G45" s="56"/>
      <c r="H45" s="214">
        <v>0.4</v>
      </c>
      <c r="J45" s="73">
        <f t="shared" ref="J45:AO45" si="55">J24/$J$24</f>
        <v>1</v>
      </c>
      <c r="K45" s="73">
        <f t="shared" si="55"/>
        <v>0.98821856982626843</v>
      </c>
      <c r="L45" s="73">
        <f t="shared" si="55"/>
        <v>0.97596274578313169</v>
      </c>
      <c r="M45" s="73">
        <f t="shared" si="55"/>
        <v>0.96421419782579232</v>
      </c>
      <c r="N45" s="73">
        <f t="shared" si="55"/>
        <v>0.95199998685842058</v>
      </c>
      <c r="O45" s="73">
        <f t="shared" si="55"/>
        <v>0.94000656758555423</v>
      </c>
      <c r="P45" s="73">
        <f t="shared" si="55"/>
        <v>0.92796018011578962</v>
      </c>
      <c r="Q45" s="73">
        <f t="shared" si="55"/>
        <v>0.91572838797214207</v>
      </c>
      <c r="R45" s="73">
        <f t="shared" si="55"/>
        <v>0.90383569728816449</v>
      </c>
      <c r="S45" s="73">
        <f t="shared" si="55"/>
        <v>0.89124326649868391</v>
      </c>
      <c r="T45" s="73">
        <f t="shared" si="55"/>
        <v>0.87898151891562615</v>
      </c>
      <c r="U45" s="73">
        <f t="shared" si="55"/>
        <v>0.86679084284456753</v>
      </c>
      <c r="V45" s="73">
        <f t="shared" si="55"/>
        <v>0.85417412661880754</v>
      </c>
      <c r="W45" s="73">
        <f t="shared" si="55"/>
        <v>0.84174866546455418</v>
      </c>
      <c r="X45" s="73">
        <f t="shared" si="55"/>
        <v>0.82926832802706618</v>
      </c>
      <c r="Y45" s="73">
        <f t="shared" si="55"/>
        <v>0.81649658727433416</v>
      </c>
      <c r="Z45" s="73">
        <f t="shared" si="55"/>
        <v>0.80378840278867925</v>
      </c>
      <c r="AA45" s="73">
        <f t="shared" si="55"/>
        <v>0.79125492851149659</v>
      </c>
      <c r="AB45" s="73">
        <f t="shared" si="55"/>
        <v>0.7783261351383004</v>
      </c>
      <c r="AC45" s="73">
        <f t="shared" si="55"/>
        <v>0.7655656960052345</v>
      </c>
      <c r="AD45" s="73">
        <f t="shared" si="55"/>
        <v>0.7527489011793399</v>
      </c>
      <c r="AE45" s="73">
        <f t="shared" si="55"/>
        <v>0.73976826082982694</v>
      </c>
      <c r="AF45" s="73">
        <f t="shared" si="55"/>
        <v>0.72704831650701052</v>
      </c>
      <c r="AG45" s="73">
        <f t="shared" si="55"/>
        <v>0.71375067359035904</v>
      </c>
      <c r="AH45" s="73">
        <f t="shared" si="55"/>
        <v>0.70070504091204588</v>
      </c>
      <c r="AI45" s="73">
        <f t="shared" si="55"/>
        <v>0.68770161947277364</v>
      </c>
      <c r="AJ45" s="73">
        <f t="shared" si="55"/>
        <v>0.67424702096466516</v>
      </c>
      <c r="AK45" s="73">
        <f t="shared" si="55"/>
        <v>0.66093086572985105</v>
      </c>
      <c r="AL45" s="73">
        <f t="shared" si="55"/>
        <v>0.64755779761238963</v>
      </c>
      <c r="AM45" s="73">
        <f t="shared" si="55"/>
        <v>0.6342198281777025</v>
      </c>
      <c r="AN45" s="73">
        <f t="shared" si="55"/>
        <v>0.62073259781755241</v>
      </c>
      <c r="AO45" s="73">
        <f t="shared" si="55"/>
        <v>0.60745302281602609</v>
      </c>
      <c r="AP45" s="73">
        <f t="shared" ref="AP45:BU45" si="56">AP24/$J$24</f>
        <v>0.59376485061053186</v>
      </c>
      <c r="AQ45" s="73">
        <f t="shared" si="56"/>
        <v>0.58010471678461528</v>
      </c>
      <c r="AR45" s="73">
        <f t="shared" si="56"/>
        <v>0.56655149003206073</v>
      </c>
      <c r="AS45" s="73">
        <f t="shared" si="56"/>
        <v>0.55269433286372205</v>
      </c>
      <c r="AT45" s="73">
        <f t="shared" si="56"/>
        <v>0.53893740478472019</v>
      </c>
      <c r="AU45" s="73">
        <f t="shared" si="56"/>
        <v>0.52511972008088725</v>
      </c>
      <c r="AV45" s="73">
        <f t="shared" si="56"/>
        <v>0.51101657569465642</v>
      </c>
      <c r="AW45" s="73">
        <f t="shared" si="56"/>
        <v>0.49707558037029426</v>
      </c>
      <c r="AX45" s="73">
        <f t="shared" si="56"/>
        <v>0.48314383174652492</v>
      </c>
      <c r="AY45" s="73">
        <f t="shared" si="56"/>
        <v>0.46894207526669413</v>
      </c>
      <c r="AZ45" s="73">
        <f t="shared" si="56"/>
        <v>0.45474845231876004</v>
      </c>
      <c r="BA45" s="73">
        <f t="shared" si="56"/>
        <v>0.44062373837696939</v>
      </c>
      <c r="BB45" s="73">
        <f t="shared" si="56"/>
        <v>0.42630908363301345</v>
      </c>
      <c r="BC45" s="73">
        <f t="shared" si="56"/>
        <v>0.41211545178123882</v>
      </c>
      <c r="BD45" s="73">
        <f t="shared" si="56"/>
        <v>0.39756152872474981</v>
      </c>
      <c r="BE45" s="73">
        <f t="shared" si="56"/>
        <v>0.38306282727652685</v>
      </c>
      <c r="BF45" s="73">
        <f t="shared" si="56"/>
        <v>0.36866587877842966</v>
      </c>
      <c r="BG45" s="73">
        <f t="shared" si="56"/>
        <v>0.35399115585181562</v>
      </c>
      <c r="BH45" s="73">
        <f t="shared" si="56"/>
        <v>0.3392053725901944</v>
      </c>
      <c r="BI45" s="73">
        <f t="shared" si="56"/>
        <v>0.32469888427430993</v>
      </c>
      <c r="BJ45" s="73">
        <f t="shared" si="56"/>
        <v>0.30974999446638979</v>
      </c>
      <c r="BK45" s="73">
        <f t="shared" si="56"/>
        <v>0.29487598892654204</v>
      </c>
      <c r="BL45" s="73">
        <f t="shared" si="56"/>
        <v>0.27993841229452404</v>
      </c>
      <c r="BM45" s="73">
        <f t="shared" si="56"/>
        <v>0.26497687450604945</v>
      </c>
      <c r="BN45" s="73">
        <f t="shared" si="56"/>
        <v>0.24994926000821863</v>
      </c>
      <c r="BO45" s="73">
        <f t="shared" si="56"/>
        <v>0.23489088618696297</v>
      </c>
      <c r="BP45" s="73">
        <f t="shared" si="56"/>
        <v>0.21966347096219024</v>
      </c>
      <c r="BQ45" s="73">
        <f t="shared" si="56"/>
        <v>0.20440443808900949</v>
      </c>
      <c r="BR45" s="73">
        <f t="shared" si="56"/>
        <v>0.18913842979193587</v>
      </c>
      <c r="BS45" s="73">
        <f t="shared" si="56"/>
        <v>0.17374893372909594</v>
      </c>
      <c r="BT45" s="73">
        <f t="shared" si="56"/>
        <v>0.15826891010896302</v>
      </c>
      <c r="BU45" s="73">
        <f t="shared" si="56"/>
        <v>0.14279257436378309</v>
      </c>
      <c r="BV45" s="73">
        <f t="shared" ref="BV45:CC45" si="57">BV24/$J$24</f>
        <v>0.12718465433290252</v>
      </c>
      <c r="BW45" s="73">
        <f t="shared" si="57"/>
        <v>0.111548488988718</v>
      </c>
      <c r="BX45" s="73">
        <f t="shared" si="57"/>
        <v>9.5843267484164094E-2</v>
      </c>
      <c r="BY45" s="73">
        <f t="shared" si="57"/>
        <v>8.0055030453652615E-2</v>
      </c>
      <c r="BZ45" s="73">
        <f t="shared" si="57"/>
        <v>6.4233530231314201E-2</v>
      </c>
      <c r="CA45" s="73">
        <f t="shared" si="57"/>
        <v>4.8301042971524696E-2</v>
      </c>
      <c r="CB45" s="73">
        <f t="shared" si="57"/>
        <v>3.2309611775972878E-2</v>
      </c>
      <c r="CC45" s="73">
        <f t="shared" si="57"/>
        <v>1.6259039667981728E-2</v>
      </c>
    </row>
    <row r="46" spans="3:81" x14ac:dyDescent="0.2">
      <c r="G46" s="56"/>
      <c r="H46" s="211"/>
      <c r="J46" s="60">
        <f t="shared" ref="J46:AO46" si="58">IF(J45&gt;$H$45,0,1)</f>
        <v>0</v>
      </c>
      <c r="K46" s="60">
        <f t="shared" si="58"/>
        <v>0</v>
      </c>
      <c r="L46" s="60">
        <f t="shared" si="58"/>
        <v>0</v>
      </c>
      <c r="M46" s="60">
        <f t="shared" si="58"/>
        <v>0</v>
      </c>
      <c r="N46" s="60">
        <f t="shared" si="58"/>
        <v>0</v>
      </c>
      <c r="O46" s="60">
        <f t="shared" si="58"/>
        <v>0</v>
      </c>
      <c r="P46" s="60">
        <f t="shared" si="58"/>
        <v>0</v>
      </c>
      <c r="Q46" s="60">
        <f t="shared" si="58"/>
        <v>0</v>
      </c>
      <c r="R46" s="60">
        <f t="shared" si="58"/>
        <v>0</v>
      </c>
      <c r="S46" s="60">
        <f t="shared" si="58"/>
        <v>0</v>
      </c>
      <c r="T46" s="60">
        <f t="shared" si="58"/>
        <v>0</v>
      </c>
      <c r="U46" s="60">
        <f t="shared" si="58"/>
        <v>0</v>
      </c>
      <c r="V46" s="60">
        <f t="shared" si="58"/>
        <v>0</v>
      </c>
      <c r="W46" s="60">
        <f t="shared" si="58"/>
        <v>0</v>
      </c>
      <c r="X46" s="60">
        <f t="shared" si="58"/>
        <v>0</v>
      </c>
      <c r="Y46" s="60">
        <f t="shared" si="58"/>
        <v>0</v>
      </c>
      <c r="Z46" s="60">
        <f t="shared" si="58"/>
        <v>0</v>
      </c>
      <c r="AA46" s="60">
        <f t="shared" si="58"/>
        <v>0</v>
      </c>
      <c r="AB46" s="60">
        <f t="shared" si="58"/>
        <v>0</v>
      </c>
      <c r="AC46" s="60">
        <f t="shared" si="58"/>
        <v>0</v>
      </c>
      <c r="AD46" s="60">
        <f t="shared" si="58"/>
        <v>0</v>
      </c>
      <c r="AE46" s="60">
        <f t="shared" si="58"/>
        <v>0</v>
      </c>
      <c r="AF46" s="60">
        <f t="shared" si="58"/>
        <v>0</v>
      </c>
      <c r="AG46" s="60">
        <f t="shared" si="58"/>
        <v>0</v>
      </c>
      <c r="AH46" s="60">
        <f t="shared" si="58"/>
        <v>0</v>
      </c>
      <c r="AI46" s="60">
        <f t="shared" si="58"/>
        <v>0</v>
      </c>
      <c r="AJ46" s="60">
        <f t="shared" si="58"/>
        <v>0</v>
      </c>
      <c r="AK46" s="60">
        <f t="shared" si="58"/>
        <v>0</v>
      </c>
      <c r="AL46" s="60">
        <f t="shared" si="58"/>
        <v>0</v>
      </c>
      <c r="AM46" s="60">
        <f t="shared" si="58"/>
        <v>0</v>
      </c>
      <c r="AN46" s="60">
        <f t="shared" si="58"/>
        <v>0</v>
      </c>
      <c r="AO46" s="60">
        <f t="shared" si="58"/>
        <v>0</v>
      </c>
      <c r="AP46" s="60">
        <f t="shared" ref="AP46:BU46" si="59">IF(AP45&gt;$H$45,0,1)</f>
        <v>0</v>
      </c>
      <c r="AQ46" s="60">
        <f t="shared" si="59"/>
        <v>0</v>
      </c>
      <c r="AR46" s="60">
        <f t="shared" si="59"/>
        <v>0</v>
      </c>
      <c r="AS46" s="60">
        <f t="shared" si="59"/>
        <v>0</v>
      </c>
      <c r="AT46" s="60">
        <f t="shared" si="59"/>
        <v>0</v>
      </c>
      <c r="AU46" s="60">
        <f t="shared" si="59"/>
        <v>0</v>
      </c>
      <c r="AV46" s="60">
        <f t="shared" si="59"/>
        <v>0</v>
      </c>
      <c r="AW46" s="60">
        <f t="shared" si="59"/>
        <v>0</v>
      </c>
      <c r="AX46" s="60">
        <f t="shared" si="59"/>
        <v>0</v>
      </c>
      <c r="AY46" s="60">
        <f t="shared" si="59"/>
        <v>0</v>
      </c>
      <c r="AZ46" s="60">
        <f t="shared" si="59"/>
        <v>0</v>
      </c>
      <c r="BA46" s="60">
        <f t="shared" si="59"/>
        <v>0</v>
      </c>
      <c r="BB46" s="60">
        <f t="shared" si="59"/>
        <v>0</v>
      </c>
      <c r="BC46" s="60">
        <f t="shared" si="59"/>
        <v>0</v>
      </c>
      <c r="BD46" s="60">
        <f t="shared" si="59"/>
        <v>1</v>
      </c>
      <c r="BE46" s="60">
        <f t="shared" si="59"/>
        <v>1</v>
      </c>
      <c r="BF46" s="60">
        <f t="shared" si="59"/>
        <v>1</v>
      </c>
      <c r="BG46" s="60">
        <f t="shared" si="59"/>
        <v>1</v>
      </c>
      <c r="BH46" s="60">
        <f t="shared" si="59"/>
        <v>1</v>
      </c>
      <c r="BI46" s="60">
        <f t="shared" si="59"/>
        <v>1</v>
      </c>
      <c r="BJ46" s="60">
        <f t="shared" si="59"/>
        <v>1</v>
      </c>
      <c r="BK46" s="60">
        <f t="shared" si="59"/>
        <v>1</v>
      </c>
      <c r="BL46" s="60">
        <f t="shared" si="59"/>
        <v>1</v>
      </c>
      <c r="BM46" s="60">
        <f t="shared" si="59"/>
        <v>1</v>
      </c>
      <c r="BN46" s="60">
        <f t="shared" si="59"/>
        <v>1</v>
      </c>
      <c r="BO46" s="60">
        <f t="shared" si="59"/>
        <v>1</v>
      </c>
      <c r="BP46" s="60">
        <f t="shared" si="59"/>
        <v>1</v>
      </c>
      <c r="BQ46" s="60">
        <f t="shared" si="59"/>
        <v>1</v>
      </c>
      <c r="BR46" s="60">
        <f t="shared" si="59"/>
        <v>1</v>
      </c>
      <c r="BS46" s="60">
        <f t="shared" si="59"/>
        <v>1</v>
      </c>
      <c r="BT46" s="60">
        <f t="shared" si="59"/>
        <v>1</v>
      </c>
      <c r="BU46" s="60">
        <f t="shared" si="59"/>
        <v>1</v>
      </c>
      <c r="BV46" s="60">
        <f t="shared" ref="BV46:CC46" si="60">IF(BV45&gt;$H$45,0,1)</f>
        <v>1</v>
      </c>
      <c r="BW46" s="60">
        <f t="shared" si="60"/>
        <v>1</v>
      </c>
      <c r="BX46" s="60">
        <f t="shared" si="60"/>
        <v>1</v>
      </c>
      <c r="BY46" s="60">
        <f t="shared" si="60"/>
        <v>1</v>
      </c>
      <c r="BZ46" s="60">
        <f t="shared" si="60"/>
        <v>1</v>
      </c>
      <c r="CA46" s="60">
        <f t="shared" si="60"/>
        <v>1</v>
      </c>
      <c r="CB46" s="60">
        <f t="shared" si="60"/>
        <v>1</v>
      </c>
      <c r="CC46" s="60">
        <f t="shared" si="60"/>
        <v>1</v>
      </c>
    </row>
    <row r="47" spans="3:81" x14ac:dyDescent="0.2">
      <c r="D47" s="75" t="str">
        <f>"Payments made prior to "&amp;H45*100&amp;"% of drawn balance"</f>
        <v>Payments made prior to 40% of drawn balance</v>
      </c>
      <c r="G47" s="56"/>
      <c r="H47" s="215">
        <f>SUM(J47:CC47)-1</f>
        <v>46</v>
      </c>
      <c r="J47" s="74">
        <f t="shared" ref="J47:AP47" si="61">IF(J46-I46=0,0,J10)</f>
        <v>0</v>
      </c>
      <c r="K47" s="74">
        <f t="shared" si="61"/>
        <v>0</v>
      </c>
      <c r="L47" s="74">
        <f t="shared" si="61"/>
        <v>0</v>
      </c>
      <c r="M47" s="74">
        <f t="shared" si="61"/>
        <v>0</v>
      </c>
      <c r="N47" s="74">
        <f t="shared" si="61"/>
        <v>0</v>
      </c>
      <c r="O47" s="74">
        <f t="shared" si="61"/>
        <v>0</v>
      </c>
      <c r="P47" s="74">
        <f t="shared" si="61"/>
        <v>0</v>
      </c>
      <c r="Q47" s="74">
        <f t="shared" si="61"/>
        <v>0</v>
      </c>
      <c r="R47" s="74">
        <f t="shared" si="61"/>
        <v>0</v>
      </c>
      <c r="S47" s="74">
        <f t="shared" si="61"/>
        <v>0</v>
      </c>
      <c r="T47" s="74">
        <f t="shared" si="61"/>
        <v>0</v>
      </c>
      <c r="U47" s="74">
        <f t="shared" si="61"/>
        <v>0</v>
      </c>
      <c r="V47" s="74">
        <f t="shared" si="61"/>
        <v>0</v>
      </c>
      <c r="W47" s="74">
        <f t="shared" si="61"/>
        <v>0</v>
      </c>
      <c r="X47" s="74">
        <f t="shared" si="61"/>
        <v>0</v>
      </c>
      <c r="Y47" s="74">
        <f t="shared" si="61"/>
        <v>0</v>
      </c>
      <c r="Z47" s="74">
        <f t="shared" si="61"/>
        <v>0</v>
      </c>
      <c r="AA47" s="74">
        <f t="shared" si="61"/>
        <v>0</v>
      </c>
      <c r="AB47" s="74">
        <f t="shared" si="61"/>
        <v>0</v>
      </c>
      <c r="AC47" s="74">
        <f t="shared" si="61"/>
        <v>0</v>
      </c>
      <c r="AD47" s="74">
        <f t="shared" si="61"/>
        <v>0</v>
      </c>
      <c r="AE47" s="74">
        <f t="shared" si="61"/>
        <v>0</v>
      </c>
      <c r="AF47" s="74">
        <f t="shared" si="61"/>
        <v>0</v>
      </c>
      <c r="AG47" s="74">
        <f t="shared" si="61"/>
        <v>0</v>
      </c>
      <c r="AH47" s="74">
        <f t="shared" si="61"/>
        <v>0</v>
      </c>
      <c r="AI47" s="74">
        <f t="shared" si="61"/>
        <v>0</v>
      </c>
      <c r="AJ47" s="74">
        <f t="shared" si="61"/>
        <v>0</v>
      </c>
      <c r="AK47" s="74">
        <f t="shared" si="61"/>
        <v>0</v>
      </c>
      <c r="AL47" s="74">
        <f t="shared" si="61"/>
        <v>0</v>
      </c>
      <c r="AM47" s="74">
        <f t="shared" si="61"/>
        <v>0</v>
      </c>
      <c r="AN47" s="74">
        <f t="shared" si="61"/>
        <v>0</v>
      </c>
      <c r="AO47" s="74">
        <f t="shared" si="61"/>
        <v>0</v>
      </c>
      <c r="AP47" s="74">
        <f t="shared" si="61"/>
        <v>0</v>
      </c>
      <c r="AQ47" s="74">
        <f t="shared" ref="AQ47:BV47" si="62">IF(AQ46-AP46=0,0,AQ10)</f>
        <v>0</v>
      </c>
      <c r="AR47" s="74">
        <f t="shared" si="62"/>
        <v>0</v>
      </c>
      <c r="AS47" s="74">
        <f t="shared" si="62"/>
        <v>0</v>
      </c>
      <c r="AT47" s="74">
        <f t="shared" si="62"/>
        <v>0</v>
      </c>
      <c r="AU47" s="74">
        <f t="shared" si="62"/>
        <v>0</v>
      </c>
      <c r="AV47" s="74">
        <f t="shared" si="62"/>
        <v>0</v>
      </c>
      <c r="AW47" s="74">
        <f t="shared" si="62"/>
        <v>0</v>
      </c>
      <c r="AX47" s="74">
        <f t="shared" si="62"/>
        <v>0</v>
      </c>
      <c r="AY47" s="74">
        <f t="shared" si="62"/>
        <v>0</v>
      </c>
      <c r="AZ47" s="74">
        <f t="shared" si="62"/>
        <v>0</v>
      </c>
      <c r="BA47" s="74">
        <f t="shared" si="62"/>
        <v>0</v>
      </c>
      <c r="BB47" s="74">
        <f t="shared" si="62"/>
        <v>0</v>
      </c>
      <c r="BC47" s="74">
        <f t="shared" si="62"/>
        <v>0</v>
      </c>
      <c r="BD47" s="74">
        <f t="shared" si="62"/>
        <v>47</v>
      </c>
      <c r="BE47" s="74">
        <f t="shared" si="62"/>
        <v>0</v>
      </c>
      <c r="BF47" s="74">
        <f t="shared" si="62"/>
        <v>0</v>
      </c>
      <c r="BG47" s="74">
        <f t="shared" si="62"/>
        <v>0</v>
      </c>
      <c r="BH47" s="74">
        <f t="shared" si="62"/>
        <v>0</v>
      </c>
      <c r="BI47" s="74">
        <f t="shared" si="62"/>
        <v>0</v>
      </c>
      <c r="BJ47" s="74">
        <f t="shared" si="62"/>
        <v>0</v>
      </c>
      <c r="BK47" s="74">
        <f t="shared" si="62"/>
        <v>0</v>
      </c>
      <c r="BL47" s="74">
        <f t="shared" si="62"/>
        <v>0</v>
      </c>
      <c r="BM47" s="74">
        <f t="shared" si="62"/>
        <v>0</v>
      </c>
      <c r="BN47" s="74">
        <f t="shared" si="62"/>
        <v>0</v>
      </c>
      <c r="BO47" s="74">
        <f t="shared" si="62"/>
        <v>0</v>
      </c>
      <c r="BP47" s="74">
        <f t="shared" si="62"/>
        <v>0</v>
      </c>
      <c r="BQ47" s="74">
        <f t="shared" si="62"/>
        <v>0</v>
      </c>
      <c r="BR47" s="74">
        <f t="shared" si="62"/>
        <v>0</v>
      </c>
      <c r="BS47" s="74">
        <f t="shared" si="62"/>
        <v>0</v>
      </c>
      <c r="BT47" s="74">
        <f t="shared" si="62"/>
        <v>0</v>
      </c>
      <c r="BU47" s="74">
        <f t="shared" si="62"/>
        <v>0</v>
      </c>
      <c r="BV47" s="74">
        <f t="shared" si="62"/>
        <v>0</v>
      </c>
      <c r="BW47" s="74">
        <f t="shared" ref="BW47:CC47" si="63">IF(BW46-BV46=0,0,BW10)</f>
        <v>0</v>
      </c>
      <c r="BX47" s="74">
        <f t="shared" si="63"/>
        <v>0</v>
      </c>
      <c r="BY47" s="74">
        <f t="shared" si="63"/>
        <v>0</v>
      </c>
      <c r="BZ47" s="74">
        <f t="shared" si="63"/>
        <v>0</v>
      </c>
      <c r="CA47" s="74">
        <f t="shared" si="63"/>
        <v>0</v>
      </c>
      <c r="CB47" s="74">
        <f t="shared" si="63"/>
        <v>0</v>
      </c>
      <c r="CC47" s="74">
        <f t="shared" si="63"/>
        <v>0</v>
      </c>
    </row>
    <row r="48" spans="3:81" x14ac:dyDescent="0.2">
      <c r="G48" s="56"/>
      <c r="H48" s="211"/>
    </row>
    <row r="49" spans="3:81" x14ac:dyDescent="0.2">
      <c r="D49" s="42" t="s">
        <v>62</v>
      </c>
      <c r="G49" s="56"/>
      <c r="H49" s="216">
        <v>31</v>
      </c>
      <c r="J49" s="60">
        <f t="shared" ref="J49:AO49" si="64">IF(J10&gt;term,0,J14)</f>
        <v>31</v>
      </c>
      <c r="K49" s="60">
        <f t="shared" si="64"/>
        <v>28</v>
      </c>
      <c r="L49" s="60">
        <f t="shared" si="64"/>
        <v>32</v>
      </c>
      <c r="M49" s="60">
        <f t="shared" si="64"/>
        <v>29</v>
      </c>
      <c r="N49" s="60">
        <f t="shared" si="64"/>
        <v>31</v>
      </c>
      <c r="O49" s="60">
        <f t="shared" si="64"/>
        <v>31</v>
      </c>
      <c r="P49" s="60">
        <f t="shared" si="64"/>
        <v>30</v>
      </c>
      <c r="Q49" s="60">
        <f t="shared" si="64"/>
        <v>33</v>
      </c>
      <c r="R49" s="60">
        <f t="shared" si="64"/>
        <v>28</v>
      </c>
      <c r="S49" s="60">
        <f t="shared" si="64"/>
        <v>31</v>
      </c>
      <c r="T49" s="60">
        <f t="shared" si="64"/>
        <v>32</v>
      </c>
      <c r="U49" s="60">
        <f t="shared" si="64"/>
        <v>29</v>
      </c>
      <c r="V49" s="60">
        <f t="shared" si="64"/>
        <v>31</v>
      </c>
      <c r="W49" s="60">
        <f t="shared" si="64"/>
        <v>31</v>
      </c>
      <c r="X49" s="60">
        <f t="shared" si="64"/>
        <v>29</v>
      </c>
      <c r="Y49" s="60">
        <f t="shared" si="64"/>
        <v>30</v>
      </c>
      <c r="Z49" s="60">
        <f t="shared" si="64"/>
        <v>32</v>
      </c>
      <c r="AA49" s="60">
        <f t="shared" si="64"/>
        <v>29</v>
      </c>
      <c r="AB49" s="60">
        <f t="shared" si="64"/>
        <v>31</v>
      </c>
      <c r="AC49" s="60">
        <f t="shared" si="64"/>
        <v>31</v>
      </c>
      <c r="AD49" s="60">
        <f t="shared" si="64"/>
        <v>30</v>
      </c>
      <c r="AE49" s="60">
        <f t="shared" si="64"/>
        <v>33</v>
      </c>
      <c r="AF49" s="60">
        <f t="shared" si="64"/>
        <v>28</v>
      </c>
      <c r="AG49" s="60">
        <f t="shared" si="64"/>
        <v>31</v>
      </c>
      <c r="AH49" s="60">
        <f t="shared" si="64"/>
        <v>32</v>
      </c>
      <c r="AI49" s="60">
        <f t="shared" si="64"/>
        <v>28</v>
      </c>
      <c r="AJ49" s="60">
        <f t="shared" si="64"/>
        <v>30</v>
      </c>
      <c r="AK49" s="60">
        <f t="shared" si="64"/>
        <v>30</v>
      </c>
      <c r="AL49" s="60">
        <f t="shared" si="64"/>
        <v>31</v>
      </c>
      <c r="AM49" s="60">
        <f t="shared" si="64"/>
        <v>30</v>
      </c>
      <c r="AN49" s="60">
        <f t="shared" si="64"/>
        <v>33</v>
      </c>
      <c r="AO49" s="60">
        <f t="shared" si="64"/>
        <v>29</v>
      </c>
      <c r="AP49" s="60">
        <f t="shared" ref="AP49:BU49" si="65">IF(AP10&gt;term,0,AP14)</f>
        <v>30</v>
      </c>
      <c r="AQ49" s="60">
        <f t="shared" si="65"/>
        <v>32</v>
      </c>
      <c r="AR49" s="60">
        <f t="shared" si="65"/>
        <v>29</v>
      </c>
      <c r="AS49" s="60">
        <f t="shared" si="65"/>
        <v>31</v>
      </c>
      <c r="AT49" s="60">
        <f t="shared" si="65"/>
        <v>31</v>
      </c>
      <c r="AU49" s="60">
        <f t="shared" si="65"/>
        <v>28</v>
      </c>
      <c r="AV49" s="60">
        <f t="shared" si="65"/>
        <v>31</v>
      </c>
      <c r="AW49" s="60">
        <f t="shared" si="65"/>
        <v>32</v>
      </c>
      <c r="AX49" s="60">
        <f t="shared" si="65"/>
        <v>29</v>
      </c>
      <c r="AY49" s="60">
        <f t="shared" si="65"/>
        <v>30</v>
      </c>
      <c r="AZ49" s="60">
        <f t="shared" si="65"/>
        <v>32</v>
      </c>
      <c r="BA49" s="60">
        <f t="shared" si="65"/>
        <v>30</v>
      </c>
      <c r="BB49" s="60">
        <f t="shared" si="65"/>
        <v>33</v>
      </c>
      <c r="BC49" s="60">
        <f t="shared" si="65"/>
        <v>28</v>
      </c>
      <c r="BD49" s="60">
        <f t="shared" si="65"/>
        <v>30</v>
      </c>
      <c r="BE49" s="60">
        <f t="shared" si="65"/>
        <v>33</v>
      </c>
      <c r="BF49" s="60">
        <f t="shared" si="65"/>
        <v>29</v>
      </c>
      <c r="BG49" s="60">
        <f t="shared" si="65"/>
        <v>28</v>
      </c>
      <c r="BH49" s="60">
        <f t="shared" si="65"/>
        <v>35</v>
      </c>
      <c r="BI49" s="60">
        <f t="shared" si="65"/>
        <v>27</v>
      </c>
      <c r="BJ49" s="60">
        <f t="shared" si="65"/>
        <v>30</v>
      </c>
      <c r="BK49" s="60">
        <f t="shared" si="65"/>
        <v>30</v>
      </c>
      <c r="BL49" s="60">
        <f t="shared" si="65"/>
        <v>31</v>
      </c>
      <c r="BM49" s="60">
        <f t="shared" si="65"/>
        <v>31</v>
      </c>
      <c r="BN49" s="60">
        <f t="shared" si="65"/>
        <v>32</v>
      </c>
      <c r="BO49" s="60">
        <f t="shared" si="65"/>
        <v>29</v>
      </c>
      <c r="BP49" s="60">
        <f t="shared" si="65"/>
        <v>30</v>
      </c>
      <c r="BQ49" s="60">
        <f t="shared" si="65"/>
        <v>32</v>
      </c>
      <c r="BR49" s="60">
        <f t="shared" si="65"/>
        <v>30</v>
      </c>
      <c r="BS49" s="60">
        <f t="shared" si="65"/>
        <v>29</v>
      </c>
      <c r="BT49" s="60">
        <f t="shared" si="65"/>
        <v>32</v>
      </c>
      <c r="BU49" s="60">
        <f t="shared" si="65"/>
        <v>29</v>
      </c>
      <c r="BV49" s="60">
        <f t="shared" ref="BV49:CC49" si="66">IF(BV10&gt;term,0,BV14)</f>
        <v>31</v>
      </c>
      <c r="BW49" s="60">
        <f t="shared" si="66"/>
        <v>31</v>
      </c>
      <c r="BX49" s="60">
        <f t="shared" si="66"/>
        <v>30</v>
      </c>
      <c r="BY49" s="60">
        <f t="shared" si="66"/>
        <v>33</v>
      </c>
      <c r="BZ49" s="60">
        <f t="shared" si="66"/>
        <v>29</v>
      </c>
      <c r="CA49" s="60">
        <f t="shared" si="66"/>
        <v>30</v>
      </c>
      <c r="CB49" s="60">
        <f t="shared" si="66"/>
        <v>32</v>
      </c>
      <c r="CC49" s="60">
        <f t="shared" si="66"/>
        <v>29</v>
      </c>
    </row>
    <row r="50" spans="3:81" x14ac:dyDescent="0.2">
      <c r="G50" s="56"/>
      <c r="H50" s="217">
        <f>COUNTIF(J49:CC49,H49)</f>
        <v>17</v>
      </c>
    </row>
    <row r="51" spans="3:81" x14ac:dyDescent="0.2">
      <c r="G51" s="56"/>
      <c r="H51" s="217"/>
    </row>
    <row r="52" spans="3:81" x14ac:dyDescent="0.2">
      <c r="D52" s="42" t="s">
        <v>61</v>
      </c>
      <c r="G52" s="56"/>
      <c r="H52" s="218">
        <v>12</v>
      </c>
      <c r="J52" s="74">
        <f t="shared" ref="J52:AO52" si="67">IF(J10&gt;$H$52,J34,0)</f>
        <v>0</v>
      </c>
      <c r="K52" s="74">
        <f t="shared" si="67"/>
        <v>0</v>
      </c>
      <c r="L52" s="74">
        <f t="shared" si="67"/>
        <v>0</v>
      </c>
      <c r="M52" s="74">
        <f t="shared" si="67"/>
        <v>0</v>
      </c>
      <c r="N52" s="74">
        <f t="shared" si="67"/>
        <v>0</v>
      </c>
      <c r="O52" s="74">
        <f t="shared" si="67"/>
        <v>0</v>
      </c>
      <c r="P52" s="74">
        <f t="shared" si="67"/>
        <v>0</v>
      </c>
      <c r="Q52" s="74">
        <f t="shared" si="67"/>
        <v>0</v>
      </c>
      <c r="R52" s="74">
        <f t="shared" si="67"/>
        <v>0</v>
      </c>
      <c r="S52" s="74">
        <f t="shared" si="67"/>
        <v>0</v>
      </c>
      <c r="T52" s="74">
        <f t="shared" si="67"/>
        <v>0</v>
      </c>
      <c r="U52" s="74">
        <f t="shared" si="67"/>
        <v>0</v>
      </c>
      <c r="V52" s="74">
        <f t="shared" si="67"/>
        <v>213538.85359324675</v>
      </c>
      <c r="W52" s="74">
        <f t="shared" si="67"/>
        <v>210432.08702601356</v>
      </c>
      <c r="X52" s="74">
        <f t="shared" si="67"/>
        <v>207311.5996157492</v>
      </c>
      <c r="Y52" s="74">
        <f t="shared" si="67"/>
        <v>204118.26115873037</v>
      </c>
      <c r="Z52" s="74">
        <f t="shared" si="67"/>
        <v>200940.80926386788</v>
      </c>
      <c r="AA52" s="74">
        <f t="shared" si="67"/>
        <v>197807.03139423131</v>
      </c>
      <c r="AB52" s="74">
        <f t="shared" si="67"/>
        <v>194574.42474850549</v>
      </c>
      <c r="AC52" s="74">
        <f t="shared" si="67"/>
        <v>191383.90295031964</v>
      </c>
      <c r="AD52" s="74">
        <f t="shared" si="67"/>
        <v>188179.29040928811</v>
      </c>
      <c r="AE52" s="74">
        <f t="shared" si="67"/>
        <v>184933.71579012665</v>
      </c>
      <c r="AF52" s="74">
        <f t="shared" si="67"/>
        <v>181753.30983742373</v>
      </c>
      <c r="AG52" s="74">
        <f t="shared" si="67"/>
        <v>178428.48350890554</v>
      </c>
      <c r="AH52" s="74">
        <f t="shared" si="67"/>
        <v>175166.65415653275</v>
      </c>
      <c r="AI52" s="74">
        <f t="shared" si="67"/>
        <v>171915.37438525615</v>
      </c>
      <c r="AJ52" s="74">
        <f t="shared" si="67"/>
        <v>168551.30412792054</v>
      </c>
      <c r="AK52" s="74">
        <f t="shared" si="67"/>
        <v>165221.84003314556</v>
      </c>
      <c r="AL52" s="74">
        <f t="shared" si="67"/>
        <v>161878.1459000477</v>
      </c>
      <c r="AM52" s="74">
        <f t="shared" si="67"/>
        <v>158543.22300185167</v>
      </c>
      <c r="AN52" s="74">
        <f t="shared" si="67"/>
        <v>155170.98464253786</v>
      </c>
      <c r="AO52" s="74">
        <f t="shared" si="67"/>
        <v>151850.65308257667</v>
      </c>
      <c r="AP52" s="74">
        <f t="shared" ref="AP52:BU52" si="68">IF(AP10&gt;$H$52,AP34,0)</f>
        <v>148428.17734508653</v>
      </c>
      <c r="AQ52" s="74">
        <f t="shared" si="68"/>
        <v>145012.70755776024</v>
      </c>
      <c r="AR52" s="74">
        <f t="shared" si="68"/>
        <v>141623.95883541417</v>
      </c>
      <c r="AS52" s="74">
        <f t="shared" si="68"/>
        <v>138159.23144059602</v>
      </c>
      <c r="AT52" s="74">
        <f t="shared" si="68"/>
        <v>134719.55541881468</v>
      </c>
      <c r="AU52" s="74">
        <f t="shared" si="68"/>
        <v>131264.68827991799</v>
      </c>
      <c r="AV52" s="74">
        <f t="shared" si="68"/>
        <v>127738.46076513205</v>
      </c>
      <c r="AW52" s="74">
        <f t="shared" si="68"/>
        <v>124252.76205203882</v>
      </c>
      <c r="AX52" s="74">
        <f t="shared" si="68"/>
        <v>120769.37072881187</v>
      </c>
      <c r="AY52" s="74">
        <f t="shared" si="68"/>
        <v>117218.48246039166</v>
      </c>
      <c r="AZ52" s="74">
        <f t="shared" si="68"/>
        <v>113669.62329218833</v>
      </c>
      <c r="BA52" s="74">
        <f t="shared" si="68"/>
        <v>110137.98445417677</v>
      </c>
      <c r="BB52" s="74">
        <f t="shared" si="68"/>
        <v>106558.86343148112</v>
      </c>
      <c r="BC52" s="74">
        <f t="shared" si="68"/>
        <v>103009.98830988111</v>
      </c>
      <c r="BD52" s="74">
        <f t="shared" si="68"/>
        <v>99371.051635762647</v>
      </c>
      <c r="BE52" s="74">
        <f t="shared" si="68"/>
        <v>95745.913037185557</v>
      </c>
      <c r="BF52" s="74">
        <f t="shared" si="68"/>
        <v>92146.202236471538</v>
      </c>
      <c r="BG52" s="74">
        <f t="shared" si="68"/>
        <v>88477.057151376124</v>
      </c>
      <c r="BH52" s="74">
        <f t="shared" si="68"/>
        <v>84780.148017622632</v>
      </c>
      <c r="BI52" s="74">
        <f t="shared" si="68"/>
        <v>81153.039635046327</v>
      </c>
      <c r="BJ52" s="74">
        <f t="shared" si="68"/>
        <v>77415.353165498876</v>
      </c>
      <c r="BK52" s="74">
        <f t="shared" si="68"/>
        <v>73696.376513185867</v>
      </c>
      <c r="BL52" s="74">
        <f t="shared" si="68"/>
        <v>69961.505056550639</v>
      </c>
      <c r="BM52" s="74">
        <f t="shared" si="68"/>
        <v>66220.637980163607</v>
      </c>
      <c r="BN52" s="74">
        <f t="shared" si="68"/>
        <v>62463.249594935107</v>
      </c>
      <c r="BO52" s="74">
        <f t="shared" si="68"/>
        <v>58698.165809437975</v>
      </c>
      <c r="BP52" s="74">
        <f t="shared" si="68"/>
        <v>54890.829932748129</v>
      </c>
      <c r="BQ52" s="74">
        <f t="shared" si="68"/>
        <v>51075.584085248571</v>
      </c>
      <c r="BR52" s="74">
        <f t="shared" si="68"/>
        <v>47258.585024660701</v>
      </c>
      <c r="BS52" s="74">
        <f t="shared" si="68"/>
        <v>43410.719171526573</v>
      </c>
      <c r="BT52" s="74">
        <f t="shared" si="68"/>
        <v>39540.223104343655</v>
      </c>
      <c r="BU52" s="74">
        <f t="shared" si="68"/>
        <v>35670.635439174344</v>
      </c>
      <c r="BV52" s="74">
        <f t="shared" ref="BV52:CC52" si="69">IF(BV10&gt;$H$52,BV34,0)</f>
        <v>31768.161163036944</v>
      </c>
      <c r="BW52" s="74">
        <f t="shared" si="69"/>
        <v>27858.615537728423</v>
      </c>
      <c r="BX52" s="74">
        <f t="shared" si="69"/>
        <v>23931.803645165113</v>
      </c>
      <c r="BY52" s="74">
        <f t="shared" si="69"/>
        <v>19984.239767504925</v>
      </c>
      <c r="BZ52" s="74">
        <f t="shared" si="69"/>
        <v>16028.345319309341</v>
      </c>
      <c r="CA52" s="74">
        <f t="shared" si="69"/>
        <v>12044.718787005484</v>
      </c>
      <c r="CB52" s="74">
        <f t="shared" si="69"/>
        <v>8046.3498343350793</v>
      </c>
      <c r="CC52" s="74">
        <f t="shared" si="69"/>
        <v>4033.1846208882498</v>
      </c>
    </row>
    <row r="53" spans="3:81" x14ac:dyDescent="0.2">
      <c r="H53" s="219">
        <f>MAX(J52:CC52)</f>
        <v>213538.85359324675</v>
      </c>
    </row>
    <row r="54" spans="3:81" x14ac:dyDescent="0.2">
      <c r="H54" s="211"/>
    </row>
    <row r="55" spans="3:81" x14ac:dyDescent="0.2">
      <c r="D55" s="42" t="s">
        <v>33</v>
      </c>
      <c r="H55" s="220">
        <f>SUM(J41:CC41)</f>
        <v>291589.03805571148</v>
      </c>
    </row>
    <row r="56" spans="3:81" x14ac:dyDescent="0.2">
      <c r="D56" s="42" t="s">
        <v>34</v>
      </c>
      <c r="H56" s="220">
        <f>H42</f>
        <v>41589.038055711739</v>
      </c>
    </row>
    <row r="57" spans="3:81" x14ac:dyDescent="0.2">
      <c r="D57" s="41" t="s">
        <v>35</v>
      </c>
      <c r="H57" s="221">
        <f>IFERROR(H56/H55,0)</f>
        <v>0.14262894906140355</v>
      </c>
    </row>
    <row r="59" spans="3:81" x14ac:dyDescent="0.2">
      <c r="C59" s="251" t="str">
        <f>"Go to "&amp;HL_link_assumptions</f>
        <v>Go to Model Outputs</v>
      </c>
      <c r="D59" s="251"/>
      <c r="E59" s="251"/>
      <c r="F59" s="251"/>
    </row>
  </sheetData>
  <mergeCells count="2">
    <mergeCell ref="C59:F59"/>
    <mergeCell ref="B3:F3"/>
  </mergeCells>
  <conditionalFormatting sqref="B2">
    <cfRule type="expression" dxfId="23" priority="2">
      <formula>$O$4="- CHECK GOAL SEEK"</formula>
    </cfRule>
  </conditionalFormatting>
  <conditionalFormatting sqref="CC37">
    <cfRule type="cellIs" dxfId="22" priority="3" stopIfTrue="1" operator="notEqual">
      <formula>0</formula>
    </cfRule>
  </conditionalFormatting>
  <hyperlinks>
    <hyperlink ref="A4" location="$B$5" tooltip="Go to Top of Sheet" display="$B$5"/>
    <hyperlink ref="C4" location="HL_Sheet_Main_6" tooltip="Go to Next Sheet" display="HL_Sheet_Main_6"/>
    <hyperlink ref="B4" location="HL_Sheet_Main_13" tooltip="Go to Previous Sheet" display="HL_Sheet_Main_13"/>
    <hyperlink ref="C59" location="HL_link_assumptions" tooltip="Go to Model Outputs" display="HL_link_assumptions"/>
    <hyperlink ref="B3" location="HL_Home" tooltip="Go to Table of Contents" display="HL_Home"/>
    <hyperlink ref="D4" location="HL_Err_Chk" tooltip="Go to Error Checks" display="HL_Err_Chk"/>
    <hyperlink ref="E4" location="HL_Alt_Chk" tooltip="Go to Alert Checks" display="HL_Alt_Chk"/>
  </hyperlinks>
  <pageMargins left="0.39370078740157499" right="0.39370078740157499" top="0.59055118110236204" bottom="0.98425196850393704" header="0" footer="0.31496062992126"/>
  <pageSetup paperSize="9" orientation="landscape" r:id="rId1"/>
  <headerFooter>
    <oddFooter>&amp;L&amp;F
&amp;A
Printed: &amp;T on &amp;D&amp;CPage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autoPageBreaks="0" fitToPage="1"/>
  </sheetPr>
  <dimension ref="C9:G20"/>
  <sheetViews>
    <sheetView showGridLines="0" zoomScaleNormal="100" workbookViewId="0">
      <selection activeCell="C13" sqref="C13"/>
    </sheetView>
  </sheetViews>
  <sheetFormatPr defaultColWidth="11.77734375" defaultRowHeight="10" x14ac:dyDescent="0.2"/>
  <cols>
    <col min="1" max="2" width="11.77734375" style="15"/>
    <col min="3" max="6" width="3.77734375" style="15" customWidth="1"/>
    <col min="7" max="16384" width="11.77734375" style="15"/>
  </cols>
  <sheetData>
    <row r="9" spans="3:7" ht="17.5" x14ac:dyDescent="0.2">
      <c r="C9" s="27" t="s">
        <v>84</v>
      </c>
    </row>
    <row r="10" spans="3:7" ht="16" x14ac:dyDescent="0.2">
      <c r="C10" s="33" t="s">
        <v>105</v>
      </c>
    </row>
    <row r="11" spans="3:7" ht="15" x14ac:dyDescent="0.2">
      <c r="C11" s="28" t="str">
        <f>Model_Name</f>
        <v>Precise Debt Modelling (Loan 1 - live case) (Alert in Loan 2 solution)</v>
      </c>
    </row>
    <row r="12" spans="3:7" x14ac:dyDescent="0.2">
      <c r="C12" s="230" t="s">
        <v>76</v>
      </c>
      <c r="D12" s="230"/>
      <c r="E12" s="230"/>
      <c r="F12" s="230"/>
      <c r="G12" s="230"/>
    </row>
    <row r="13" spans="3:7" ht="12.5" x14ac:dyDescent="0.2">
      <c r="C13" s="2" t="s">
        <v>82</v>
      </c>
      <c r="D13" s="3" t="s">
        <v>83</v>
      </c>
    </row>
    <row r="17" spans="3:3" x14ac:dyDescent="0.2">
      <c r="C17" s="17" t="s">
        <v>81</v>
      </c>
    </row>
    <row r="18" spans="3:3" x14ac:dyDescent="0.2">
      <c r="C18" s="110" t="s">
        <v>225</v>
      </c>
    </row>
    <row r="19" spans="3:3" x14ac:dyDescent="0.2">
      <c r="C19" s="26"/>
    </row>
    <row r="20" spans="3:3" x14ac:dyDescent="0.2">
      <c r="C20" s="26"/>
    </row>
  </sheetData>
  <mergeCells count="1">
    <mergeCell ref="C12:G12"/>
  </mergeCells>
  <hyperlinks>
    <hyperlink ref="C13" location="HL_Sheet_Main_5" tooltip="Go to Previous Sheet" display="HL_Sheet_Main_5"/>
    <hyperlink ref="D13" location="HL_Sheet_Main_14" tooltip="Go to Next Sheet" display="HL_Sheet_Main_14"/>
    <hyperlink ref="C12" location="HL_Home" tooltip="Go to Table of Contents" display="HL_Home"/>
  </hyperlinks>
  <pageMargins left="0.39370078740157499" right="0.39370078740157499" top="0.59055118110236204" bottom="0.98425196850393704" header="0" footer="0.31496062992126"/>
  <pageSetup paperSize="9" orientation="landscape" r:id="rId1"/>
  <headerFooter>
    <oddFooter>&amp;L&amp;F
&amp;A
Printed: &amp;T on &amp;D&amp;CPage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autoPageBreaks="0"/>
  </sheetPr>
  <dimension ref="A1:CE63"/>
  <sheetViews>
    <sheetView showGridLines="0" zoomScaleNormal="100" workbookViewId="0">
      <pane xSplit="9" ySplit="13" topLeftCell="J14" activePane="bottomRight" state="frozen"/>
      <selection activeCell="H12" sqref="H12:P12"/>
      <selection pane="topRight" activeCell="H12" sqref="H12:P12"/>
      <selection pane="bottomLeft" activeCell="H12" sqref="H12:P12"/>
      <selection pane="bottomRight" activeCell="B3" sqref="B3:F3"/>
    </sheetView>
  </sheetViews>
  <sheetFormatPr defaultColWidth="0" defaultRowHeight="10" outlineLevelRow="1" x14ac:dyDescent="0.2"/>
  <cols>
    <col min="1" max="5" width="3.77734375" style="31" customWidth="1"/>
    <col min="6" max="9" width="11.77734375" style="31" customWidth="1"/>
    <col min="10" max="10" width="12.44140625" style="31" customWidth="1"/>
    <col min="11" max="11" width="12.77734375" style="31" customWidth="1"/>
    <col min="12" max="12" width="12.44140625" style="31" customWidth="1"/>
    <col min="13" max="13" width="13.33203125" style="31" customWidth="1"/>
    <col min="14" max="14" width="12.44140625" style="31" customWidth="1"/>
    <col min="15" max="15" width="12.6640625" style="31" customWidth="1"/>
    <col min="16" max="17" width="12.44140625" style="31" customWidth="1"/>
    <col min="18" max="18" width="12.77734375" style="31" customWidth="1"/>
    <col min="19" max="19" width="12.44140625" style="31" customWidth="1"/>
    <col min="20" max="20" width="13.33203125" style="31" customWidth="1"/>
    <col min="21" max="21" width="12.44140625" style="31" customWidth="1"/>
    <col min="22" max="22" width="11.77734375" style="31" customWidth="1"/>
    <col min="23" max="23" width="12.77734375" style="31" customWidth="1"/>
    <col min="24" max="24" width="12.6640625" style="31" customWidth="1"/>
    <col min="25" max="25" width="12.33203125" style="31" customWidth="1"/>
    <col min="26" max="27" width="12.6640625" style="31" customWidth="1"/>
    <col min="28" max="29" width="12.44140625" style="31" customWidth="1"/>
    <col min="30" max="30" width="12.77734375" style="31" customWidth="1"/>
    <col min="31" max="31" width="12.44140625" style="31" customWidth="1"/>
    <col min="32" max="32" width="13.33203125" style="31" customWidth="1"/>
    <col min="33" max="33" width="12.44140625" style="31" customWidth="1"/>
    <col min="34" max="34" width="11.77734375" style="31" customWidth="1"/>
    <col min="35" max="35" width="12.77734375" style="31" customWidth="1"/>
    <col min="36" max="36" width="12.6640625" style="31" customWidth="1"/>
    <col min="37" max="37" width="12.33203125" style="31" customWidth="1"/>
    <col min="38" max="39" width="12.6640625" style="31" customWidth="1"/>
    <col min="40" max="41" width="12.44140625" style="31" customWidth="1"/>
    <col min="42" max="42" width="12.77734375" style="31" customWidth="1"/>
    <col min="43" max="43" width="12.44140625" style="31" customWidth="1"/>
    <col min="44" max="44" width="13.33203125" style="31" customWidth="1"/>
    <col min="45" max="45" width="12.44140625" style="31" customWidth="1"/>
    <col min="46" max="46" width="11.77734375" style="31" customWidth="1"/>
    <col min="47" max="47" width="12.77734375" style="31" customWidth="1"/>
    <col min="48" max="48" width="12.6640625" style="31" customWidth="1"/>
    <col min="49" max="49" width="12.33203125" style="31" customWidth="1"/>
    <col min="50" max="51" width="12.6640625" style="31" customWidth="1"/>
    <col min="52" max="53" width="12.44140625" style="31" customWidth="1"/>
    <col min="54" max="54" width="12.77734375" style="31" customWidth="1"/>
    <col min="55" max="55" width="12.44140625" style="31" customWidth="1"/>
    <col min="56" max="56" width="13.33203125" style="31" customWidth="1"/>
    <col min="57" max="57" width="12.44140625" style="31" customWidth="1"/>
    <col min="58" max="58" width="11.77734375" style="31" customWidth="1"/>
    <col min="59" max="59" width="12.77734375" style="31" customWidth="1"/>
    <col min="60" max="60" width="12.6640625" style="31" customWidth="1"/>
    <col min="61" max="61" width="12.33203125" style="31" customWidth="1"/>
    <col min="62" max="63" width="12.6640625" style="31" customWidth="1"/>
    <col min="64" max="65" width="12.44140625" style="31" customWidth="1"/>
    <col min="66" max="66" width="12.77734375" style="31" customWidth="1"/>
    <col min="67" max="67" width="12.44140625" style="31" customWidth="1"/>
    <col min="68" max="68" width="13.33203125" style="31" customWidth="1"/>
    <col min="69" max="69" width="12.44140625" style="31" customWidth="1"/>
    <col min="70" max="70" width="11.77734375" style="31" customWidth="1"/>
    <col min="71" max="71" width="12.77734375" style="31" customWidth="1"/>
    <col min="72" max="72" width="12.6640625" style="31" customWidth="1"/>
    <col min="73" max="73" width="13.33203125" style="31" customWidth="1"/>
    <col min="74" max="75" width="12.6640625" style="31" customWidth="1"/>
    <col min="76" max="77" width="12.44140625" style="31" customWidth="1"/>
    <col min="78" max="78" width="12.77734375" style="31" customWidth="1"/>
    <col min="79" max="79" width="12.44140625" style="31" customWidth="1"/>
    <col min="80" max="80" width="13.33203125" style="31" customWidth="1"/>
    <col min="81" max="81" width="12.44140625" style="31" customWidth="1"/>
    <col min="82" max="83" width="0" style="31" hidden="1" customWidth="1"/>
    <col min="84" max="16384" width="11.77734375" style="31" hidden="1"/>
  </cols>
  <sheetData>
    <row r="1" spans="1:83" ht="17.5" x14ac:dyDescent="0.2">
      <c r="B1" s="14" t="s">
        <v>226</v>
      </c>
    </row>
    <row r="2" spans="1:83" ht="15" x14ac:dyDescent="0.2">
      <c r="B2" s="151" t="str">
        <f>Model_Name</f>
        <v>Precise Debt Modelling (Loan 1 - live case) (Alert in Loan 2 solution)</v>
      </c>
    </row>
    <row r="3" spans="1:83" x14ac:dyDescent="0.2">
      <c r="B3" s="253" t="s">
        <v>76</v>
      </c>
      <c r="C3" s="253"/>
      <c r="D3" s="253"/>
      <c r="E3" s="253"/>
      <c r="F3" s="253"/>
    </row>
    <row r="4" spans="1:83" ht="12.5" x14ac:dyDescent="0.2">
      <c r="A4" s="152" t="s">
        <v>79</v>
      </c>
      <c r="B4" s="153" t="s">
        <v>82</v>
      </c>
      <c r="C4" s="154" t="s">
        <v>83</v>
      </c>
      <c r="D4" s="155" t="s">
        <v>100</v>
      </c>
      <c r="E4" s="156" t="s">
        <v>101</v>
      </c>
    </row>
    <row r="5" spans="1:83" ht="12.5" x14ac:dyDescent="0.2">
      <c r="A5" s="157"/>
      <c r="B5" s="158"/>
      <c r="C5" s="159"/>
      <c r="D5" s="160"/>
      <c r="E5" s="161"/>
      <c r="F5" s="162"/>
    </row>
    <row r="6" spans="1:83" ht="12.5" x14ac:dyDescent="0.2">
      <c r="B6" s="163" t="s">
        <v>110</v>
      </c>
      <c r="J6" s="164">
        <f>J8</f>
        <v>42054</v>
      </c>
      <c r="K6" s="164">
        <f t="shared" ref="K6:BV6" si="0">K8</f>
        <v>42082</v>
      </c>
      <c r="L6" s="164">
        <f t="shared" si="0"/>
        <v>42113</v>
      </c>
      <c r="M6" s="164">
        <f t="shared" si="0"/>
        <v>42143</v>
      </c>
      <c r="N6" s="164">
        <f t="shared" si="0"/>
        <v>42174</v>
      </c>
      <c r="O6" s="164">
        <f t="shared" si="0"/>
        <v>42204</v>
      </c>
      <c r="P6" s="164">
        <f t="shared" si="0"/>
        <v>42235</v>
      </c>
      <c r="Q6" s="164">
        <f t="shared" si="0"/>
        <v>42266</v>
      </c>
      <c r="R6" s="164">
        <f t="shared" si="0"/>
        <v>42296</v>
      </c>
      <c r="S6" s="164">
        <f t="shared" si="0"/>
        <v>42327</v>
      </c>
      <c r="T6" s="164">
        <f t="shared" si="0"/>
        <v>42357</v>
      </c>
      <c r="U6" s="164">
        <f t="shared" si="0"/>
        <v>42388</v>
      </c>
      <c r="V6" s="164">
        <f t="shared" si="0"/>
        <v>42419</v>
      </c>
      <c r="W6" s="164">
        <f t="shared" si="0"/>
        <v>42448</v>
      </c>
      <c r="X6" s="164">
        <f t="shared" si="0"/>
        <v>42479</v>
      </c>
      <c r="Y6" s="164">
        <f t="shared" si="0"/>
        <v>42509</v>
      </c>
      <c r="Z6" s="164">
        <f t="shared" si="0"/>
        <v>42540</v>
      </c>
      <c r="AA6" s="164">
        <f t="shared" si="0"/>
        <v>42570</v>
      </c>
      <c r="AB6" s="164">
        <f t="shared" si="0"/>
        <v>42601</v>
      </c>
      <c r="AC6" s="164">
        <f t="shared" si="0"/>
        <v>42632</v>
      </c>
      <c r="AD6" s="164">
        <f t="shared" si="0"/>
        <v>42662</v>
      </c>
      <c r="AE6" s="164">
        <f t="shared" si="0"/>
        <v>42693</v>
      </c>
      <c r="AF6" s="164">
        <f t="shared" si="0"/>
        <v>42723</v>
      </c>
      <c r="AG6" s="164">
        <f t="shared" si="0"/>
        <v>42754</v>
      </c>
      <c r="AH6" s="164">
        <f t="shared" si="0"/>
        <v>42785</v>
      </c>
      <c r="AI6" s="164">
        <f t="shared" si="0"/>
        <v>42813</v>
      </c>
      <c r="AJ6" s="164">
        <f t="shared" si="0"/>
        <v>42844</v>
      </c>
      <c r="AK6" s="164">
        <f t="shared" si="0"/>
        <v>42874</v>
      </c>
      <c r="AL6" s="164">
        <f t="shared" si="0"/>
        <v>42905</v>
      </c>
      <c r="AM6" s="164">
        <f t="shared" si="0"/>
        <v>42935</v>
      </c>
      <c r="AN6" s="164">
        <f t="shared" si="0"/>
        <v>42966</v>
      </c>
      <c r="AO6" s="164">
        <f t="shared" si="0"/>
        <v>42997</v>
      </c>
      <c r="AP6" s="164">
        <f t="shared" si="0"/>
        <v>43027</v>
      </c>
      <c r="AQ6" s="164">
        <f t="shared" si="0"/>
        <v>43058</v>
      </c>
      <c r="AR6" s="164">
        <f t="shared" si="0"/>
        <v>43088</v>
      </c>
      <c r="AS6" s="164">
        <f t="shared" si="0"/>
        <v>43119</v>
      </c>
      <c r="AT6" s="164">
        <f t="shared" si="0"/>
        <v>43150</v>
      </c>
      <c r="AU6" s="164">
        <f t="shared" si="0"/>
        <v>43178</v>
      </c>
      <c r="AV6" s="164">
        <f t="shared" si="0"/>
        <v>43209</v>
      </c>
      <c r="AW6" s="164">
        <f t="shared" si="0"/>
        <v>43239</v>
      </c>
      <c r="AX6" s="164">
        <f t="shared" si="0"/>
        <v>43270</v>
      </c>
      <c r="AY6" s="164">
        <f t="shared" si="0"/>
        <v>43300</v>
      </c>
      <c r="AZ6" s="164">
        <f t="shared" si="0"/>
        <v>43331</v>
      </c>
      <c r="BA6" s="164">
        <f t="shared" si="0"/>
        <v>43362</v>
      </c>
      <c r="BB6" s="164">
        <f t="shared" si="0"/>
        <v>43392</v>
      </c>
      <c r="BC6" s="164">
        <f t="shared" si="0"/>
        <v>43423</v>
      </c>
      <c r="BD6" s="164">
        <f t="shared" si="0"/>
        <v>43453</v>
      </c>
      <c r="BE6" s="164">
        <f t="shared" si="0"/>
        <v>43484</v>
      </c>
      <c r="BF6" s="164">
        <f t="shared" si="0"/>
        <v>43515</v>
      </c>
      <c r="BG6" s="164">
        <f t="shared" si="0"/>
        <v>43543</v>
      </c>
      <c r="BH6" s="164">
        <f t="shared" si="0"/>
        <v>43574</v>
      </c>
      <c r="BI6" s="164">
        <f t="shared" si="0"/>
        <v>43604</v>
      </c>
      <c r="BJ6" s="164">
        <f t="shared" si="0"/>
        <v>43635</v>
      </c>
      <c r="BK6" s="164">
        <f t="shared" si="0"/>
        <v>43665</v>
      </c>
      <c r="BL6" s="164">
        <f t="shared" si="0"/>
        <v>43696</v>
      </c>
      <c r="BM6" s="164">
        <f t="shared" si="0"/>
        <v>43727</v>
      </c>
      <c r="BN6" s="164">
        <f t="shared" si="0"/>
        <v>43757</v>
      </c>
      <c r="BO6" s="164">
        <f t="shared" si="0"/>
        <v>43788</v>
      </c>
      <c r="BP6" s="164">
        <f t="shared" si="0"/>
        <v>43818</v>
      </c>
      <c r="BQ6" s="164">
        <f t="shared" si="0"/>
        <v>43849</v>
      </c>
      <c r="BR6" s="164">
        <f t="shared" si="0"/>
        <v>43880</v>
      </c>
      <c r="BS6" s="164">
        <f t="shared" si="0"/>
        <v>43909</v>
      </c>
      <c r="BT6" s="164">
        <f t="shared" si="0"/>
        <v>43940</v>
      </c>
      <c r="BU6" s="164">
        <f t="shared" si="0"/>
        <v>43970</v>
      </c>
      <c r="BV6" s="164">
        <f t="shared" si="0"/>
        <v>44001</v>
      </c>
      <c r="BW6" s="164">
        <f t="shared" ref="BW6:CC6" si="1">BW8</f>
        <v>44031</v>
      </c>
      <c r="BX6" s="164">
        <f t="shared" si="1"/>
        <v>44062</v>
      </c>
      <c r="BY6" s="164">
        <f t="shared" si="1"/>
        <v>44093</v>
      </c>
      <c r="BZ6" s="164">
        <f t="shared" si="1"/>
        <v>44123</v>
      </c>
      <c r="CA6" s="164">
        <f t="shared" si="1"/>
        <v>44154</v>
      </c>
      <c r="CB6" s="164">
        <f t="shared" si="1"/>
        <v>44184</v>
      </c>
      <c r="CC6" s="164">
        <f t="shared" si="1"/>
        <v>44215</v>
      </c>
    </row>
    <row r="7" spans="1:83" hidden="1" outlineLevel="1" x14ac:dyDescent="0.2">
      <c r="B7" s="82" t="str">
        <f>Calcs_TA!D8</f>
        <v>Period start date (loan draw down)</v>
      </c>
      <c r="J7" s="76">
        <f>Calcs_TA!J8</f>
        <v>42023</v>
      </c>
      <c r="K7" s="76">
        <f>Calcs_TA!K8</f>
        <v>42055</v>
      </c>
      <c r="L7" s="76">
        <f>Calcs_TA!L8</f>
        <v>42083</v>
      </c>
      <c r="M7" s="76">
        <f>Calcs_TA!M8</f>
        <v>42114</v>
      </c>
      <c r="N7" s="76">
        <f>Calcs_TA!N8</f>
        <v>42144</v>
      </c>
      <c r="O7" s="76">
        <f>Calcs_TA!O8</f>
        <v>42175</v>
      </c>
      <c r="P7" s="76">
        <f>Calcs_TA!P8</f>
        <v>42205</v>
      </c>
      <c r="Q7" s="76">
        <f>Calcs_TA!Q8</f>
        <v>42236</v>
      </c>
      <c r="R7" s="76">
        <f>Calcs_TA!R8</f>
        <v>42267</v>
      </c>
      <c r="S7" s="76">
        <f>Calcs_TA!S8</f>
        <v>42297</v>
      </c>
      <c r="T7" s="76">
        <f>Calcs_TA!T8</f>
        <v>42328</v>
      </c>
      <c r="U7" s="76">
        <f>Calcs_TA!U8</f>
        <v>42358</v>
      </c>
      <c r="V7" s="76">
        <f>Calcs_TA!V8</f>
        <v>42389</v>
      </c>
      <c r="W7" s="76">
        <f>Calcs_TA!W8</f>
        <v>42420</v>
      </c>
      <c r="X7" s="76">
        <f>Calcs_TA!X8</f>
        <v>42449</v>
      </c>
      <c r="Y7" s="76">
        <f>Calcs_TA!Y8</f>
        <v>42480</v>
      </c>
      <c r="Z7" s="76">
        <f>Calcs_TA!Z8</f>
        <v>42510</v>
      </c>
      <c r="AA7" s="76">
        <f>Calcs_TA!AA8</f>
        <v>42541</v>
      </c>
      <c r="AB7" s="76">
        <f>Calcs_TA!AB8</f>
        <v>42571</v>
      </c>
      <c r="AC7" s="76">
        <f>Calcs_TA!AC8</f>
        <v>42602</v>
      </c>
      <c r="AD7" s="76">
        <f>Calcs_TA!AD8</f>
        <v>42633</v>
      </c>
      <c r="AE7" s="76">
        <f>Calcs_TA!AE8</f>
        <v>42663</v>
      </c>
      <c r="AF7" s="76">
        <f>Calcs_TA!AF8</f>
        <v>42694</v>
      </c>
      <c r="AG7" s="76">
        <f>Calcs_TA!AG8</f>
        <v>42724</v>
      </c>
      <c r="AH7" s="76">
        <f>Calcs_TA!AH8</f>
        <v>42755</v>
      </c>
      <c r="AI7" s="76">
        <f>Calcs_TA!AI8</f>
        <v>42786</v>
      </c>
      <c r="AJ7" s="76">
        <f>Calcs_TA!AJ8</f>
        <v>42814</v>
      </c>
      <c r="AK7" s="76">
        <f>Calcs_TA!AK8</f>
        <v>42845</v>
      </c>
      <c r="AL7" s="76">
        <f>Calcs_TA!AL8</f>
        <v>42875</v>
      </c>
      <c r="AM7" s="76">
        <f>Calcs_TA!AM8</f>
        <v>42906</v>
      </c>
      <c r="AN7" s="76">
        <f>Calcs_TA!AN8</f>
        <v>42936</v>
      </c>
      <c r="AO7" s="76">
        <f>Calcs_TA!AO8</f>
        <v>42967</v>
      </c>
      <c r="AP7" s="76">
        <f>Calcs_TA!AP8</f>
        <v>42998</v>
      </c>
      <c r="AQ7" s="76">
        <f>Calcs_TA!AQ8</f>
        <v>43028</v>
      </c>
      <c r="AR7" s="76">
        <f>Calcs_TA!AR8</f>
        <v>43059</v>
      </c>
      <c r="AS7" s="76">
        <f>Calcs_TA!AS8</f>
        <v>43089</v>
      </c>
      <c r="AT7" s="76">
        <f>Calcs_TA!AT8</f>
        <v>43120</v>
      </c>
      <c r="AU7" s="76">
        <f>Calcs_TA!AU8</f>
        <v>43151</v>
      </c>
      <c r="AV7" s="76">
        <f>Calcs_TA!AV8</f>
        <v>43179</v>
      </c>
      <c r="AW7" s="76">
        <f>Calcs_TA!AW8</f>
        <v>43210</v>
      </c>
      <c r="AX7" s="76">
        <f>Calcs_TA!AX8</f>
        <v>43240</v>
      </c>
      <c r="AY7" s="76">
        <f>Calcs_TA!AY8</f>
        <v>43271</v>
      </c>
      <c r="AZ7" s="76">
        <f>Calcs_TA!AZ8</f>
        <v>43301</v>
      </c>
      <c r="BA7" s="76">
        <f>Calcs_TA!BA8</f>
        <v>43332</v>
      </c>
      <c r="BB7" s="76">
        <f>Calcs_TA!BB8</f>
        <v>43363</v>
      </c>
      <c r="BC7" s="76">
        <f>Calcs_TA!BC8</f>
        <v>43393</v>
      </c>
      <c r="BD7" s="76">
        <f>Calcs_TA!BD8</f>
        <v>43424</v>
      </c>
      <c r="BE7" s="76">
        <f>Calcs_TA!BE8</f>
        <v>43454</v>
      </c>
      <c r="BF7" s="76">
        <f>Calcs_TA!BF8</f>
        <v>43485</v>
      </c>
      <c r="BG7" s="76">
        <f>Calcs_TA!BG8</f>
        <v>43516</v>
      </c>
      <c r="BH7" s="76">
        <f>Calcs_TA!BH8</f>
        <v>43544</v>
      </c>
      <c r="BI7" s="76">
        <f>Calcs_TA!BI8</f>
        <v>43575</v>
      </c>
      <c r="BJ7" s="76">
        <f>Calcs_TA!BJ8</f>
        <v>43605</v>
      </c>
      <c r="BK7" s="76">
        <f>Calcs_TA!BK8</f>
        <v>43636</v>
      </c>
      <c r="BL7" s="76">
        <f>Calcs_TA!BL8</f>
        <v>43666</v>
      </c>
      <c r="BM7" s="76">
        <f>Calcs_TA!BM8</f>
        <v>43697</v>
      </c>
      <c r="BN7" s="76">
        <f>Calcs_TA!BN8</f>
        <v>43728</v>
      </c>
      <c r="BO7" s="76">
        <f>Calcs_TA!BO8</f>
        <v>43758</v>
      </c>
      <c r="BP7" s="76">
        <f>Calcs_TA!BP8</f>
        <v>43789</v>
      </c>
      <c r="BQ7" s="76">
        <f>Calcs_TA!BQ8</f>
        <v>43819</v>
      </c>
      <c r="BR7" s="76">
        <f>Calcs_TA!BR8</f>
        <v>43850</v>
      </c>
      <c r="BS7" s="76">
        <f>Calcs_TA!BS8</f>
        <v>43881</v>
      </c>
      <c r="BT7" s="76">
        <f>Calcs_TA!BT8</f>
        <v>43910</v>
      </c>
      <c r="BU7" s="76">
        <f>Calcs_TA!BU8</f>
        <v>43941</v>
      </c>
      <c r="BV7" s="76">
        <f>Calcs_TA!BV8</f>
        <v>43971</v>
      </c>
      <c r="BW7" s="76">
        <f>Calcs_TA!BW8</f>
        <v>44002</v>
      </c>
      <c r="BX7" s="76">
        <f>Calcs_TA!BX8</f>
        <v>44032</v>
      </c>
      <c r="BY7" s="76">
        <f>Calcs_TA!BY8</f>
        <v>44063</v>
      </c>
      <c r="BZ7" s="76">
        <f>Calcs_TA!BZ8</f>
        <v>44094</v>
      </c>
      <c r="CA7" s="76">
        <f>Calcs_TA!CA8</f>
        <v>44124</v>
      </c>
      <c r="CB7" s="76">
        <f>Calcs_TA!CB8</f>
        <v>44155</v>
      </c>
      <c r="CC7" s="76">
        <f>Calcs_TA!CC8</f>
        <v>44185</v>
      </c>
      <c r="CD7" s="76"/>
      <c r="CE7" s="76"/>
    </row>
    <row r="8" spans="1:83" hidden="1" outlineLevel="1" x14ac:dyDescent="0.2">
      <c r="B8" s="31" t="str">
        <f>Calcs_TA!D9</f>
        <v>Period end date (PED)</v>
      </c>
      <c r="J8" s="76">
        <f>Calcs_TA!J9</f>
        <v>42054</v>
      </c>
      <c r="K8" s="76">
        <f>Calcs_TA!K9</f>
        <v>42082</v>
      </c>
      <c r="L8" s="76">
        <f>Calcs_TA!L9</f>
        <v>42113</v>
      </c>
      <c r="M8" s="76">
        <f>Calcs_TA!M9</f>
        <v>42143</v>
      </c>
      <c r="N8" s="76">
        <f>Calcs_TA!N9</f>
        <v>42174</v>
      </c>
      <c r="O8" s="76">
        <f>Calcs_TA!O9</f>
        <v>42204</v>
      </c>
      <c r="P8" s="76">
        <f>Calcs_TA!P9</f>
        <v>42235</v>
      </c>
      <c r="Q8" s="76">
        <f>Calcs_TA!Q9</f>
        <v>42266</v>
      </c>
      <c r="R8" s="76">
        <f>Calcs_TA!R9</f>
        <v>42296</v>
      </c>
      <c r="S8" s="76">
        <f>Calcs_TA!S9</f>
        <v>42327</v>
      </c>
      <c r="T8" s="76">
        <f>Calcs_TA!T9</f>
        <v>42357</v>
      </c>
      <c r="U8" s="76">
        <f>Calcs_TA!U9</f>
        <v>42388</v>
      </c>
      <c r="V8" s="76">
        <f>Calcs_TA!V9</f>
        <v>42419</v>
      </c>
      <c r="W8" s="76">
        <f>Calcs_TA!W9</f>
        <v>42448</v>
      </c>
      <c r="X8" s="76">
        <f>Calcs_TA!X9</f>
        <v>42479</v>
      </c>
      <c r="Y8" s="76">
        <f>Calcs_TA!Y9</f>
        <v>42509</v>
      </c>
      <c r="Z8" s="76">
        <f>Calcs_TA!Z9</f>
        <v>42540</v>
      </c>
      <c r="AA8" s="76">
        <f>Calcs_TA!AA9</f>
        <v>42570</v>
      </c>
      <c r="AB8" s="76">
        <f>Calcs_TA!AB9</f>
        <v>42601</v>
      </c>
      <c r="AC8" s="76">
        <f>Calcs_TA!AC9</f>
        <v>42632</v>
      </c>
      <c r="AD8" s="76">
        <f>Calcs_TA!AD9</f>
        <v>42662</v>
      </c>
      <c r="AE8" s="76">
        <f>Calcs_TA!AE9</f>
        <v>42693</v>
      </c>
      <c r="AF8" s="76">
        <f>Calcs_TA!AF9</f>
        <v>42723</v>
      </c>
      <c r="AG8" s="76">
        <f>Calcs_TA!AG9</f>
        <v>42754</v>
      </c>
      <c r="AH8" s="76">
        <f>Calcs_TA!AH9</f>
        <v>42785</v>
      </c>
      <c r="AI8" s="76">
        <f>Calcs_TA!AI9</f>
        <v>42813</v>
      </c>
      <c r="AJ8" s="76">
        <f>Calcs_TA!AJ9</f>
        <v>42844</v>
      </c>
      <c r="AK8" s="76">
        <f>Calcs_TA!AK9</f>
        <v>42874</v>
      </c>
      <c r="AL8" s="76">
        <f>Calcs_TA!AL9</f>
        <v>42905</v>
      </c>
      <c r="AM8" s="76">
        <f>Calcs_TA!AM9</f>
        <v>42935</v>
      </c>
      <c r="AN8" s="76">
        <f>Calcs_TA!AN9</f>
        <v>42966</v>
      </c>
      <c r="AO8" s="76">
        <f>Calcs_TA!AO9</f>
        <v>42997</v>
      </c>
      <c r="AP8" s="76">
        <f>Calcs_TA!AP9</f>
        <v>43027</v>
      </c>
      <c r="AQ8" s="76">
        <f>Calcs_TA!AQ9</f>
        <v>43058</v>
      </c>
      <c r="AR8" s="76">
        <f>Calcs_TA!AR9</f>
        <v>43088</v>
      </c>
      <c r="AS8" s="76">
        <f>Calcs_TA!AS9</f>
        <v>43119</v>
      </c>
      <c r="AT8" s="76">
        <f>Calcs_TA!AT9</f>
        <v>43150</v>
      </c>
      <c r="AU8" s="76">
        <f>Calcs_TA!AU9</f>
        <v>43178</v>
      </c>
      <c r="AV8" s="76">
        <f>Calcs_TA!AV9</f>
        <v>43209</v>
      </c>
      <c r="AW8" s="76">
        <f>Calcs_TA!AW9</f>
        <v>43239</v>
      </c>
      <c r="AX8" s="76">
        <f>Calcs_TA!AX9</f>
        <v>43270</v>
      </c>
      <c r="AY8" s="76">
        <f>Calcs_TA!AY9</f>
        <v>43300</v>
      </c>
      <c r="AZ8" s="76">
        <f>Calcs_TA!AZ9</f>
        <v>43331</v>
      </c>
      <c r="BA8" s="76">
        <f>Calcs_TA!BA9</f>
        <v>43362</v>
      </c>
      <c r="BB8" s="76">
        <f>Calcs_TA!BB9</f>
        <v>43392</v>
      </c>
      <c r="BC8" s="76">
        <f>Calcs_TA!BC9</f>
        <v>43423</v>
      </c>
      <c r="BD8" s="76">
        <f>Calcs_TA!BD9</f>
        <v>43453</v>
      </c>
      <c r="BE8" s="76">
        <f>Calcs_TA!BE9</f>
        <v>43484</v>
      </c>
      <c r="BF8" s="76">
        <f>Calcs_TA!BF9</f>
        <v>43515</v>
      </c>
      <c r="BG8" s="76">
        <f>Calcs_TA!BG9</f>
        <v>43543</v>
      </c>
      <c r="BH8" s="76">
        <f>Calcs_TA!BH9</f>
        <v>43574</v>
      </c>
      <c r="BI8" s="76">
        <f>Calcs_TA!BI9</f>
        <v>43604</v>
      </c>
      <c r="BJ8" s="76">
        <f>Calcs_TA!BJ9</f>
        <v>43635</v>
      </c>
      <c r="BK8" s="76">
        <f>Calcs_TA!BK9</f>
        <v>43665</v>
      </c>
      <c r="BL8" s="76">
        <f>Calcs_TA!BL9</f>
        <v>43696</v>
      </c>
      <c r="BM8" s="76">
        <f>Calcs_TA!BM9</f>
        <v>43727</v>
      </c>
      <c r="BN8" s="76">
        <f>Calcs_TA!BN9</f>
        <v>43757</v>
      </c>
      <c r="BO8" s="76">
        <f>Calcs_TA!BO9</f>
        <v>43788</v>
      </c>
      <c r="BP8" s="76">
        <f>Calcs_TA!BP9</f>
        <v>43818</v>
      </c>
      <c r="BQ8" s="76">
        <f>Calcs_TA!BQ9</f>
        <v>43849</v>
      </c>
      <c r="BR8" s="76">
        <f>Calcs_TA!BR9</f>
        <v>43880</v>
      </c>
      <c r="BS8" s="76">
        <f>Calcs_TA!BS9</f>
        <v>43909</v>
      </c>
      <c r="BT8" s="76">
        <f>Calcs_TA!BT9</f>
        <v>43940</v>
      </c>
      <c r="BU8" s="76">
        <f>Calcs_TA!BU9</f>
        <v>43970</v>
      </c>
      <c r="BV8" s="76">
        <f>Calcs_TA!BV9</f>
        <v>44001</v>
      </c>
      <c r="BW8" s="76">
        <f>Calcs_TA!BW9</f>
        <v>44031</v>
      </c>
      <c r="BX8" s="76">
        <f>Calcs_TA!BX9</f>
        <v>44062</v>
      </c>
      <c r="BY8" s="76">
        <f>Calcs_TA!BY9</f>
        <v>44093</v>
      </c>
      <c r="BZ8" s="76">
        <f>Calcs_TA!BZ9</f>
        <v>44123</v>
      </c>
      <c r="CA8" s="76">
        <f>Calcs_TA!CA9</f>
        <v>44154</v>
      </c>
      <c r="CB8" s="76">
        <f>Calcs_TA!CB9</f>
        <v>44184</v>
      </c>
      <c r="CC8" s="76">
        <f>Calcs_TA!CC9</f>
        <v>44215</v>
      </c>
      <c r="CD8" s="76"/>
      <c r="CE8" s="76"/>
    </row>
    <row r="9" spans="1:83" hidden="1" outlineLevel="1" x14ac:dyDescent="0.2">
      <c r="B9" s="31" t="str">
        <f>Calcs_TA!D10</f>
        <v>Period counter</v>
      </c>
      <c r="J9" s="77">
        <f>Calcs_TA!J10</f>
        <v>1</v>
      </c>
      <c r="K9" s="77">
        <f>Calcs_TA!K10</f>
        <v>2</v>
      </c>
      <c r="L9" s="77">
        <f>Calcs_TA!L10</f>
        <v>3</v>
      </c>
      <c r="M9" s="77">
        <f>Calcs_TA!M10</f>
        <v>4</v>
      </c>
      <c r="N9" s="77">
        <f>Calcs_TA!N10</f>
        <v>5</v>
      </c>
      <c r="O9" s="77">
        <f>Calcs_TA!O10</f>
        <v>6</v>
      </c>
      <c r="P9" s="77">
        <f>Calcs_TA!P10</f>
        <v>7</v>
      </c>
      <c r="Q9" s="77">
        <f>Calcs_TA!Q10</f>
        <v>8</v>
      </c>
      <c r="R9" s="77">
        <f>Calcs_TA!R10</f>
        <v>9</v>
      </c>
      <c r="S9" s="77">
        <f>Calcs_TA!S10</f>
        <v>10</v>
      </c>
      <c r="T9" s="77">
        <f>Calcs_TA!T10</f>
        <v>11</v>
      </c>
      <c r="U9" s="77">
        <f>Calcs_TA!U10</f>
        <v>12</v>
      </c>
      <c r="V9" s="77">
        <f>Calcs_TA!V10</f>
        <v>13</v>
      </c>
      <c r="W9" s="77">
        <f>Calcs_TA!W10</f>
        <v>14</v>
      </c>
      <c r="X9" s="77">
        <f>Calcs_TA!X10</f>
        <v>15</v>
      </c>
      <c r="Y9" s="77">
        <f>Calcs_TA!Y10</f>
        <v>16</v>
      </c>
      <c r="Z9" s="77">
        <f>Calcs_TA!Z10</f>
        <v>17</v>
      </c>
      <c r="AA9" s="77">
        <f>Calcs_TA!AA10</f>
        <v>18</v>
      </c>
      <c r="AB9" s="77">
        <f>Calcs_TA!AB10</f>
        <v>19</v>
      </c>
      <c r="AC9" s="77">
        <f>Calcs_TA!AC10</f>
        <v>20</v>
      </c>
      <c r="AD9" s="77">
        <f>Calcs_TA!AD10</f>
        <v>21</v>
      </c>
      <c r="AE9" s="77">
        <f>Calcs_TA!AE10</f>
        <v>22</v>
      </c>
      <c r="AF9" s="77">
        <f>Calcs_TA!AF10</f>
        <v>23</v>
      </c>
      <c r="AG9" s="77">
        <f>Calcs_TA!AG10</f>
        <v>24</v>
      </c>
      <c r="AH9" s="77">
        <f>Calcs_TA!AH10</f>
        <v>25</v>
      </c>
      <c r="AI9" s="77">
        <f>Calcs_TA!AI10</f>
        <v>26</v>
      </c>
      <c r="AJ9" s="77">
        <f>Calcs_TA!AJ10</f>
        <v>27</v>
      </c>
      <c r="AK9" s="77">
        <f>Calcs_TA!AK10</f>
        <v>28</v>
      </c>
      <c r="AL9" s="77">
        <f>Calcs_TA!AL10</f>
        <v>29</v>
      </c>
      <c r="AM9" s="77">
        <f>Calcs_TA!AM10</f>
        <v>30</v>
      </c>
      <c r="AN9" s="77">
        <f>Calcs_TA!AN10</f>
        <v>31</v>
      </c>
      <c r="AO9" s="77">
        <f>Calcs_TA!AO10</f>
        <v>32</v>
      </c>
      <c r="AP9" s="77">
        <f>Calcs_TA!AP10</f>
        <v>33</v>
      </c>
      <c r="AQ9" s="77">
        <f>Calcs_TA!AQ10</f>
        <v>34</v>
      </c>
      <c r="AR9" s="77">
        <f>Calcs_TA!AR10</f>
        <v>35</v>
      </c>
      <c r="AS9" s="77">
        <f>Calcs_TA!AS10</f>
        <v>36</v>
      </c>
      <c r="AT9" s="77">
        <f>Calcs_TA!AT10</f>
        <v>37</v>
      </c>
      <c r="AU9" s="77">
        <f>Calcs_TA!AU10</f>
        <v>38</v>
      </c>
      <c r="AV9" s="77">
        <f>Calcs_TA!AV10</f>
        <v>39</v>
      </c>
      <c r="AW9" s="77">
        <f>Calcs_TA!AW10</f>
        <v>40</v>
      </c>
      <c r="AX9" s="77">
        <f>Calcs_TA!AX10</f>
        <v>41</v>
      </c>
      <c r="AY9" s="77">
        <f>Calcs_TA!AY10</f>
        <v>42</v>
      </c>
      <c r="AZ9" s="77">
        <f>Calcs_TA!AZ10</f>
        <v>43</v>
      </c>
      <c r="BA9" s="77">
        <f>Calcs_TA!BA10</f>
        <v>44</v>
      </c>
      <c r="BB9" s="77">
        <f>Calcs_TA!BB10</f>
        <v>45</v>
      </c>
      <c r="BC9" s="77">
        <f>Calcs_TA!BC10</f>
        <v>46</v>
      </c>
      <c r="BD9" s="77">
        <f>Calcs_TA!BD10</f>
        <v>47</v>
      </c>
      <c r="BE9" s="77">
        <f>Calcs_TA!BE10</f>
        <v>48</v>
      </c>
      <c r="BF9" s="77">
        <f>Calcs_TA!BF10</f>
        <v>49</v>
      </c>
      <c r="BG9" s="77">
        <f>Calcs_TA!BG10</f>
        <v>50</v>
      </c>
      <c r="BH9" s="77">
        <f>Calcs_TA!BH10</f>
        <v>51</v>
      </c>
      <c r="BI9" s="77">
        <f>Calcs_TA!BI10</f>
        <v>52</v>
      </c>
      <c r="BJ9" s="77">
        <f>Calcs_TA!BJ10</f>
        <v>53</v>
      </c>
      <c r="BK9" s="77">
        <f>Calcs_TA!BK10</f>
        <v>54</v>
      </c>
      <c r="BL9" s="77">
        <f>Calcs_TA!BL10</f>
        <v>55</v>
      </c>
      <c r="BM9" s="77">
        <f>Calcs_TA!BM10</f>
        <v>56</v>
      </c>
      <c r="BN9" s="77">
        <f>Calcs_TA!BN10</f>
        <v>57</v>
      </c>
      <c r="BO9" s="77">
        <f>Calcs_TA!BO10</f>
        <v>58</v>
      </c>
      <c r="BP9" s="77">
        <f>Calcs_TA!BP10</f>
        <v>59</v>
      </c>
      <c r="BQ9" s="77">
        <f>Calcs_TA!BQ10</f>
        <v>60</v>
      </c>
      <c r="BR9" s="77">
        <f>Calcs_TA!BR10</f>
        <v>61</v>
      </c>
      <c r="BS9" s="77">
        <f>Calcs_TA!BS10</f>
        <v>62</v>
      </c>
      <c r="BT9" s="77">
        <f>Calcs_TA!BT10</f>
        <v>63</v>
      </c>
      <c r="BU9" s="77">
        <f>Calcs_TA!BU10</f>
        <v>64</v>
      </c>
      <c r="BV9" s="77">
        <f>Calcs_TA!BV10</f>
        <v>65</v>
      </c>
      <c r="BW9" s="77">
        <f>Calcs_TA!BW10</f>
        <v>66</v>
      </c>
      <c r="BX9" s="77">
        <f>Calcs_TA!BX10</f>
        <v>67</v>
      </c>
      <c r="BY9" s="77">
        <f>Calcs_TA!BY10</f>
        <v>68</v>
      </c>
      <c r="BZ9" s="77">
        <f>Calcs_TA!BZ10</f>
        <v>69</v>
      </c>
      <c r="CA9" s="77">
        <f>Calcs_TA!CA10</f>
        <v>70</v>
      </c>
      <c r="CB9" s="77">
        <f>Calcs_TA!CB10</f>
        <v>71</v>
      </c>
      <c r="CC9" s="77">
        <f>Calcs_TA!CC10</f>
        <v>72</v>
      </c>
      <c r="CD9" s="78"/>
      <c r="CE9" s="78"/>
    </row>
    <row r="10" spans="1:83" hidden="1" outlineLevel="1" x14ac:dyDescent="0.2">
      <c r="B10" s="31" t="str">
        <f>Calcs_TA!D11</f>
        <v>Next workday following period end date (incl PED)</v>
      </c>
      <c r="J10" s="79">
        <f>Calcs_TA!J11</f>
        <v>42054</v>
      </c>
      <c r="K10" s="79">
        <f>Calcs_TA!K11</f>
        <v>42082</v>
      </c>
      <c r="L10" s="79">
        <f>Calcs_TA!L11</f>
        <v>42114</v>
      </c>
      <c r="M10" s="79">
        <f>Calcs_TA!M11</f>
        <v>42143</v>
      </c>
      <c r="N10" s="79">
        <f>Calcs_TA!N11</f>
        <v>42174</v>
      </c>
      <c r="O10" s="79">
        <f>Calcs_TA!O11</f>
        <v>42205</v>
      </c>
      <c r="P10" s="79">
        <f>Calcs_TA!P11</f>
        <v>42235</v>
      </c>
      <c r="Q10" s="79">
        <f>Calcs_TA!Q11</f>
        <v>42268</v>
      </c>
      <c r="R10" s="79">
        <f>Calcs_TA!R11</f>
        <v>42296</v>
      </c>
      <c r="S10" s="79">
        <f>Calcs_TA!S11</f>
        <v>42327</v>
      </c>
      <c r="T10" s="79">
        <f>Calcs_TA!T11</f>
        <v>42359</v>
      </c>
      <c r="U10" s="79">
        <f>Calcs_TA!U11</f>
        <v>42388</v>
      </c>
      <c r="V10" s="79">
        <f>Calcs_TA!V11</f>
        <v>42419</v>
      </c>
      <c r="W10" s="79">
        <f>Calcs_TA!W11</f>
        <v>42450</v>
      </c>
      <c r="X10" s="79">
        <f>Calcs_TA!X11</f>
        <v>42479</v>
      </c>
      <c r="Y10" s="79">
        <f>Calcs_TA!Y11</f>
        <v>42509</v>
      </c>
      <c r="Z10" s="79">
        <f>Calcs_TA!Z11</f>
        <v>42541</v>
      </c>
      <c r="AA10" s="79">
        <f>Calcs_TA!AA11</f>
        <v>42570</v>
      </c>
      <c r="AB10" s="79">
        <f>Calcs_TA!AB11</f>
        <v>42601</v>
      </c>
      <c r="AC10" s="79">
        <f>Calcs_TA!AC11</f>
        <v>42632</v>
      </c>
      <c r="AD10" s="79">
        <f>Calcs_TA!AD11</f>
        <v>42662</v>
      </c>
      <c r="AE10" s="79">
        <f>Calcs_TA!AE11</f>
        <v>42695</v>
      </c>
      <c r="AF10" s="79">
        <f>Calcs_TA!AF11</f>
        <v>42723</v>
      </c>
      <c r="AG10" s="79">
        <f>Calcs_TA!AG11</f>
        <v>42754</v>
      </c>
      <c r="AH10" s="79">
        <f>Calcs_TA!AH11</f>
        <v>42786</v>
      </c>
      <c r="AI10" s="79">
        <f>Calcs_TA!AI11</f>
        <v>42814</v>
      </c>
      <c r="AJ10" s="79">
        <f>Calcs_TA!AJ11</f>
        <v>42844</v>
      </c>
      <c r="AK10" s="79">
        <f>Calcs_TA!AK11</f>
        <v>42874</v>
      </c>
      <c r="AL10" s="79">
        <f>Calcs_TA!AL11</f>
        <v>42905</v>
      </c>
      <c r="AM10" s="79">
        <f>Calcs_TA!AM11</f>
        <v>42935</v>
      </c>
      <c r="AN10" s="79">
        <f>Calcs_TA!AN11</f>
        <v>42968</v>
      </c>
      <c r="AO10" s="79">
        <f>Calcs_TA!AO11</f>
        <v>42997</v>
      </c>
      <c r="AP10" s="79">
        <f>Calcs_TA!AP11</f>
        <v>43027</v>
      </c>
      <c r="AQ10" s="79">
        <f>Calcs_TA!AQ11</f>
        <v>43059</v>
      </c>
      <c r="AR10" s="79">
        <f>Calcs_TA!AR11</f>
        <v>43088</v>
      </c>
      <c r="AS10" s="79">
        <f>Calcs_TA!AS11</f>
        <v>43119</v>
      </c>
      <c r="AT10" s="79">
        <f>Calcs_TA!AT11</f>
        <v>43150</v>
      </c>
      <c r="AU10" s="79">
        <f>Calcs_TA!AU11</f>
        <v>43178</v>
      </c>
      <c r="AV10" s="79">
        <f>Calcs_TA!AV11</f>
        <v>43209</v>
      </c>
      <c r="AW10" s="79">
        <f>Calcs_TA!AW11</f>
        <v>43241</v>
      </c>
      <c r="AX10" s="79">
        <f>Calcs_TA!AX11</f>
        <v>43270</v>
      </c>
      <c r="AY10" s="79">
        <f>Calcs_TA!AY11</f>
        <v>43300</v>
      </c>
      <c r="AZ10" s="79">
        <f>Calcs_TA!AZ11</f>
        <v>43332</v>
      </c>
      <c r="BA10" s="79">
        <f>Calcs_TA!BA11</f>
        <v>43362</v>
      </c>
      <c r="BB10" s="79">
        <f>Calcs_TA!BB11</f>
        <v>43395</v>
      </c>
      <c r="BC10" s="79">
        <f>Calcs_TA!BC11</f>
        <v>43423</v>
      </c>
      <c r="BD10" s="79">
        <f>Calcs_TA!BD11</f>
        <v>43453</v>
      </c>
      <c r="BE10" s="79">
        <f>Calcs_TA!BE11</f>
        <v>43486</v>
      </c>
      <c r="BF10" s="79">
        <f>Calcs_TA!BF11</f>
        <v>43515</v>
      </c>
      <c r="BG10" s="79">
        <f>Calcs_TA!BG11</f>
        <v>43543</v>
      </c>
      <c r="BH10" s="79">
        <f>Calcs_TA!BH11</f>
        <v>43578</v>
      </c>
      <c r="BI10" s="79">
        <f>Calcs_TA!BI11</f>
        <v>43605</v>
      </c>
      <c r="BJ10" s="79">
        <f>Calcs_TA!BJ11</f>
        <v>43635</v>
      </c>
      <c r="BK10" s="79">
        <f>Calcs_TA!BK11</f>
        <v>43665</v>
      </c>
      <c r="BL10" s="79">
        <f>Calcs_TA!BL11</f>
        <v>43696</v>
      </c>
      <c r="BM10" s="79">
        <f>Calcs_TA!BM11</f>
        <v>43727</v>
      </c>
      <c r="BN10" s="79">
        <f>Calcs_TA!BN11</f>
        <v>43759</v>
      </c>
      <c r="BO10" s="79">
        <f>Calcs_TA!BO11</f>
        <v>43788</v>
      </c>
      <c r="BP10" s="79">
        <f>Calcs_TA!BP11</f>
        <v>43818</v>
      </c>
      <c r="BQ10" s="79">
        <f>Calcs_TA!BQ11</f>
        <v>43850</v>
      </c>
      <c r="BR10" s="79">
        <f>Calcs_TA!BR11</f>
        <v>43880</v>
      </c>
      <c r="BS10" s="79">
        <f>Calcs_TA!BS11</f>
        <v>43909</v>
      </c>
      <c r="BT10" s="79">
        <f>Calcs_TA!BT11</f>
        <v>43941</v>
      </c>
      <c r="BU10" s="79">
        <f>Calcs_TA!BU11</f>
        <v>43970</v>
      </c>
      <c r="BV10" s="79">
        <f>Calcs_TA!BV11</f>
        <v>44001</v>
      </c>
      <c r="BW10" s="79">
        <f>Calcs_TA!BW11</f>
        <v>44032</v>
      </c>
      <c r="BX10" s="79">
        <f>Calcs_TA!BX11</f>
        <v>44062</v>
      </c>
      <c r="BY10" s="79">
        <f>Calcs_TA!BY11</f>
        <v>44095</v>
      </c>
      <c r="BZ10" s="79">
        <f>Calcs_TA!BZ11</f>
        <v>44124</v>
      </c>
      <c r="CA10" s="79">
        <f>Calcs_TA!CA11</f>
        <v>44154</v>
      </c>
      <c r="CB10" s="79">
        <f>Calcs_TA!CB11</f>
        <v>44186</v>
      </c>
      <c r="CC10" s="79">
        <f>Calcs_TA!CC11</f>
        <v>44215</v>
      </c>
      <c r="CD10" s="79"/>
      <c r="CE10" s="79"/>
    </row>
    <row r="11" spans="1:83" hidden="1" outlineLevel="1" x14ac:dyDescent="0.2">
      <c r="B11" s="31" t="str">
        <f>Calcs_TA!D12</f>
        <v>Previous workday prior to PED (excl PED)</v>
      </c>
      <c r="J11" s="79">
        <f>Calcs_TA!J12</f>
        <v>42053</v>
      </c>
      <c r="K11" s="79">
        <f>Calcs_TA!K12</f>
        <v>42081</v>
      </c>
      <c r="L11" s="79">
        <f>Calcs_TA!L12</f>
        <v>42111</v>
      </c>
      <c r="M11" s="79">
        <f>Calcs_TA!M12</f>
        <v>42142</v>
      </c>
      <c r="N11" s="79">
        <f>Calcs_TA!N12</f>
        <v>42173</v>
      </c>
      <c r="O11" s="79">
        <f>Calcs_TA!O12</f>
        <v>42202</v>
      </c>
      <c r="P11" s="79">
        <f>Calcs_TA!P12</f>
        <v>42234</v>
      </c>
      <c r="Q11" s="79">
        <f>Calcs_TA!Q12</f>
        <v>42265</v>
      </c>
      <c r="R11" s="79">
        <f>Calcs_TA!R12</f>
        <v>42293</v>
      </c>
      <c r="S11" s="79">
        <f>Calcs_TA!S12</f>
        <v>42326</v>
      </c>
      <c r="T11" s="79">
        <f>Calcs_TA!T12</f>
        <v>42356</v>
      </c>
      <c r="U11" s="79">
        <f>Calcs_TA!U12</f>
        <v>42387</v>
      </c>
      <c r="V11" s="79">
        <f>Calcs_TA!V12</f>
        <v>42418</v>
      </c>
      <c r="W11" s="79">
        <f>Calcs_TA!W12</f>
        <v>42447</v>
      </c>
      <c r="X11" s="79">
        <f>Calcs_TA!X12</f>
        <v>42478</v>
      </c>
      <c r="Y11" s="79">
        <f>Calcs_TA!Y12</f>
        <v>42508</v>
      </c>
      <c r="Z11" s="79">
        <f>Calcs_TA!Z12</f>
        <v>42538</v>
      </c>
      <c r="AA11" s="79">
        <f>Calcs_TA!AA12</f>
        <v>42569</v>
      </c>
      <c r="AB11" s="79">
        <f>Calcs_TA!AB12</f>
        <v>42600</v>
      </c>
      <c r="AC11" s="79">
        <f>Calcs_TA!AC12</f>
        <v>42629</v>
      </c>
      <c r="AD11" s="79">
        <f>Calcs_TA!AD12</f>
        <v>42661</v>
      </c>
      <c r="AE11" s="79">
        <f>Calcs_TA!AE12</f>
        <v>42692</v>
      </c>
      <c r="AF11" s="79">
        <f>Calcs_TA!AF12</f>
        <v>42720</v>
      </c>
      <c r="AG11" s="79">
        <f>Calcs_TA!AG12</f>
        <v>42753</v>
      </c>
      <c r="AH11" s="79">
        <f>Calcs_TA!AH12</f>
        <v>42783</v>
      </c>
      <c r="AI11" s="79">
        <f>Calcs_TA!AI12</f>
        <v>42811</v>
      </c>
      <c r="AJ11" s="79">
        <f>Calcs_TA!AJ12</f>
        <v>42843</v>
      </c>
      <c r="AK11" s="79">
        <f>Calcs_TA!AK12</f>
        <v>42873</v>
      </c>
      <c r="AL11" s="79">
        <f>Calcs_TA!AL12</f>
        <v>42902</v>
      </c>
      <c r="AM11" s="79">
        <f>Calcs_TA!AM12</f>
        <v>42934</v>
      </c>
      <c r="AN11" s="79">
        <f>Calcs_TA!AN12</f>
        <v>42965</v>
      </c>
      <c r="AO11" s="79">
        <f>Calcs_TA!AO12</f>
        <v>42996</v>
      </c>
      <c r="AP11" s="79">
        <f>Calcs_TA!AP12</f>
        <v>43026</v>
      </c>
      <c r="AQ11" s="79">
        <f>Calcs_TA!AQ12</f>
        <v>43056</v>
      </c>
      <c r="AR11" s="79">
        <f>Calcs_TA!AR12</f>
        <v>43087</v>
      </c>
      <c r="AS11" s="79">
        <f>Calcs_TA!AS12</f>
        <v>43118</v>
      </c>
      <c r="AT11" s="79">
        <f>Calcs_TA!AT12</f>
        <v>43147</v>
      </c>
      <c r="AU11" s="79">
        <f>Calcs_TA!AU12</f>
        <v>43175</v>
      </c>
      <c r="AV11" s="79">
        <f>Calcs_TA!AV12</f>
        <v>43208</v>
      </c>
      <c r="AW11" s="79">
        <f>Calcs_TA!AW12</f>
        <v>43238</v>
      </c>
      <c r="AX11" s="79">
        <f>Calcs_TA!AX12</f>
        <v>43269</v>
      </c>
      <c r="AY11" s="79">
        <f>Calcs_TA!AY12</f>
        <v>43299</v>
      </c>
      <c r="AZ11" s="79">
        <f>Calcs_TA!AZ12</f>
        <v>43329</v>
      </c>
      <c r="BA11" s="79">
        <f>Calcs_TA!BA12</f>
        <v>43361</v>
      </c>
      <c r="BB11" s="79">
        <f>Calcs_TA!BB12</f>
        <v>43391</v>
      </c>
      <c r="BC11" s="79">
        <f>Calcs_TA!BC12</f>
        <v>43420</v>
      </c>
      <c r="BD11" s="79">
        <f>Calcs_TA!BD12</f>
        <v>43452</v>
      </c>
      <c r="BE11" s="79">
        <f>Calcs_TA!BE12</f>
        <v>43483</v>
      </c>
      <c r="BF11" s="79">
        <f>Calcs_TA!BF12</f>
        <v>43514</v>
      </c>
      <c r="BG11" s="79">
        <f>Calcs_TA!BG12</f>
        <v>43542</v>
      </c>
      <c r="BH11" s="79">
        <f>Calcs_TA!BH12</f>
        <v>43573</v>
      </c>
      <c r="BI11" s="79">
        <f>Calcs_TA!BI12</f>
        <v>43602</v>
      </c>
      <c r="BJ11" s="79">
        <f>Calcs_TA!BJ12</f>
        <v>43634</v>
      </c>
      <c r="BK11" s="79">
        <f>Calcs_TA!BK12</f>
        <v>43664</v>
      </c>
      <c r="BL11" s="79">
        <f>Calcs_TA!BL12</f>
        <v>43693</v>
      </c>
      <c r="BM11" s="79">
        <f>Calcs_TA!BM12</f>
        <v>43726</v>
      </c>
      <c r="BN11" s="79">
        <f>Calcs_TA!BN12</f>
        <v>43756</v>
      </c>
      <c r="BO11" s="79">
        <f>Calcs_TA!BO12</f>
        <v>43787</v>
      </c>
      <c r="BP11" s="79">
        <f>Calcs_TA!BP12</f>
        <v>43817</v>
      </c>
      <c r="BQ11" s="79">
        <f>Calcs_TA!BQ12</f>
        <v>43847</v>
      </c>
      <c r="BR11" s="79">
        <f>Calcs_TA!BR12</f>
        <v>43879</v>
      </c>
      <c r="BS11" s="79">
        <f>Calcs_TA!BS12</f>
        <v>43908</v>
      </c>
      <c r="BT11" s="79">
        <f>Calcs_TA!BT12</f>
        <v>43938</v>
      </c>
      <c r="BU11" s="79">
        <f>Calcs_TA!BU12</f>
        <v>43969</v>
      </c>
      <c r="BV11" s="79">
        <f>Calcs_TA!BV12</f>
        <v>44000</v>
      </c>
      <c r="BW11" s="79">
        <f>Calcs_TA!BW12</f>
        <v>44029</v>
      </c>
      <c r="BX11" s="79">
        <f>Calcs_TA!BX12</f>
        <v>44061</v>
      </c>
      <c r="BY11" s="79">
        <f>Calcs_TA!BY12</f>
        <v>44092</v>
      </c>
      <c r="BZ11" s="79">
        <f>Calcs_TA!BZ12</f>
        <v>44120</v>
      </c>
      <c r="CA11" s="79">
        <f>Calcs_TA!CA12</f>
        <v>44153</v>
      </c>
      <c r="CB11" s="79">
        <f>Calcs_TA!CB12</f>
        <v>44183</v>
      </c>
      <c r="CC11" s="79">
        <f>Calcs_TA!CC12</f>
        <v>44214</v>
      </c>
      <c r="CD11" s="79"/>
      <c r="CE11" s="79"/>
    </row>
    <row r="12" spans="1:83" hidden="1" outlineLevel="1" x14ac:dyDescent="0.2">
      <c r="B12" s="31" t="str">
        <f>Calcs_TA!D13</f>
        <v>Payment date (interest period between dates)</v>
      </c>
      <c r="J12" s="79">
        <f>Calcs_TA!J13</f>
        <v>42054</v>
      </c>
      <c r="K12" s="79">
        <f>Calcs_TA!K13</f>
        <v>42082</v>
      </c>
      <c r="L12" s="79">
        <f>Calcs_TA!L13</f>
        <v>42114</v>
      </c>
      <c r="M12" s="79">
        <f>Calcs_TA!M13</f>
        <v>42143</v>
      </c>
      <c r="N12" s="79">
        <f>Calcs_TA!N13</f>
        <v>42174</v>
      </c>
      <c r="O12" s="79">
        <f>Calcs_TA!O13</f>
        <v>42205</v>
      </c>
      <c r="P12" s="79">
        <f>Calcs_TA!P13</f>
        <v>42235</v>
      </c>
      <c r="Q12" s="79">
        <f>Calcs_TA!Q13</f>
        <v>42268</v>
      </c>
      <c r="R12" s="79">
        <f>Calcs_TA!R13</f>
        <v>42296</v>
      </c>
      <c r="S12" s="79">
        <f>Calcs_TA!S13</f>
        <v>42327</v>
      </c>
      <c r="T12" s="79">
        <f>Calcs_TA!T13</f>
        <v>42359</v>
      </c>
      <c r="U12" s="79">
        <f>Calcs_TA!U13</f>
        <v>42388</v>
      </c>
      <c r="V12" s="79">
        <f>Calcs_TA!V13</f>
        <v>42419</v>
      </c>
      <c r="W12" s="79">
        <f>Calcs_TA!W13</f>
        <v>42450</v>
      </c>
      <c r="X12" s="79">
        <f>Calcs_TA!X13</f>
        <v>42479</v>
      </c>
      <c r="Y12" s="79">
        <f>Calcs_TA!Y13</f>
        <v>42509</v>
      </c>
      <c r="Z12" s="79">
        <f>Calcs_TA!Z13</f>
        <v>42541</v>
      </c>
      <c r="AA12" s="79">
        <f>Calcs_TA!AA13</f>
        <v>42570</v>
      </c>
      <c r="AB12" s="79">
        <f>Calcs_TA!AB13</f>
        <v>42601</v>
      </c>
      <c r="AC12" s="79">
        <f>Calcs_TA!AC13</f>
        <v>42632</v>
      </c>
      <c r="AD12" s="79">
        <f>Calcs_TA!AD13</f>
        <v>42662</v>
      </c>
      <c r="AE12" s="79">
        <f>Calcs_TA!AE13</f>
        <v>42695</v>
      </c>
      <c r="AF12" s="79">
        <f>Calcs_TA!AF13</f>
        <v>42723</v>
      </c>
      <c r="AG12" s="79">
        <f>Calcs_TA!AG13</f>
        <v>42754</v>
      </c>
      <c r="AH12" s="79">
        <f>Calcs_TA!AH13</f>
        <v>42786</v>
      </c>
      <c r="AI12" s="79">
        <f>Calcs_TA!AI13</f>
        <v>42814</v>
      </c>
      <c r="AJ12" s="79">
        <f>Calcs_TA!AJ13</f>
        <v>42844</v>
      </c>
      <c r="AK12" s="79">
        <f>Calcs_TA!AK13</f>
        <v>42874</v>
      </c>
      <c r="AL12" s="79">
        <f>Calcs_TA!AL13</f>
        <v>42905</v>
      </c>
      <c r="AM12" s="79">
        <f>Calcs_TA!AM13</f>
        <v>42935</v>
      </c>
      <c r="AN12" s="79">
        <f>Calcs_TA!AN13</f>
        <v>42968</v>
      </c>
      <c r="AO12" s="79">
        <f>Calcs_TA!AO13</f>
        <v>42997</v>
      </c>
      <c r="AP12" s="79">
        <f>Calcs_TA!AP13</f>
        <v>43027</v>
      </c>
      <c r="AQ12" s="79">
        <f>Calcs_TA!AQ13</f>
        <v>43059</v>
      </c>
      <c r="AR12" s="79">
        <f>Calcs_TA!AR13</f>
        <v>43088</v>
      </c>
      <c r="AS12" s="79">
        <f>Calcs_TA!AS13</f>
        <v>43119</v>
      </c>
      <c r="AT12" s="79">
        <f>Calcs_TA!AT13</f>
        <v>43150</v>
      </c>
      <c r="AU12" s="79">
        <f>Calcs_TA!AU13</f>
        <v>43178</v>
      </c>
      <c r="AV12" s="79">
        <f>Calcs_TA!AV13</f>
        <v>43209</v>
      </c>
      <c r="AW12" s="79">
        <f>Calcs_TA!AW13</f>
        <v>43241</v>
      </c>
      <c r="AX12" s="79">
        <f>Calcs_TA!AX13</f>
        <v>43270</v>
      </c>
      <c r="AY12" s="79">
        <f>Calcs_TA!AY13</f>
        <v>43300</v>
      </c>
      <c r="AZ12" s="79">
        <f>Calcs_TA!AZ13</f>
        <v>43332</v>
      </c>
      <c r="BA12" s="79">
        <f>Calcs_TA!BA13</f>
        <v>43362</v>
      </c>
      <c r="BB12" s="79">
        <f>Calcs_TA!BB13</f>
        <v>43395</v>
      </c>
      <c r="BC12" s="79">
        <f>Calcs_TA!BC13</f>
        <v>43423</v>
      </c>
      <c r="BD12" s="79">
        <f>Calcs_TA!BD13</f>
        <v>43453</v>
      </c>
      <c r="BE12" s="79">
        <f>Calcs_TA!BE13</f>
        <v>43486</v>
      </c>
      <c r="BF12" s="79">
        <f>Calcs_TA!BF13</f>
        <v>43515</v>
      </c>
      <c r="BG12" s="79">
        <f>Calcs_TA!BG13</f>
        <v>43543</v>
      </c>
      <c r="BH12" s="79">
        <f>Calcs_TA!BH13</f>
        <v>43578</v>
      </c>
      <c r="BI12" s="79">
        <f>Calcs_TA!BI13</f>
        <v>43605</v>
      </c>
      <c r="BJ12" s="79">
        <f>Calcs_TA!BJ13</f>
        <v>43635</v>
      </c>
      <c r="BK12" s="79">
        <f>Calcs_TA!BK13</f>
        <v>43665</v>
      </c>
      <c r="BL12" s="79">
        <f>Calcs_TA!BL13</f>
        <v>43696</v>
      </c>
      <c r="BM12" s="79">
        <f>Calcs_TA!BM13</f>
        <v>43727</v>
      </c>
      <c r="BN12" s="79">
        <f>Calcs_TA!BN13</f>
        <v>43759</v>
      </c>
      <c r="BO12" s="79">
        <f>Calcs_TA!BO13</f>
        <v>43788</v>
      </c>
      <c r="BP12" s="79">
        <f>Calcs_TA!BP13</f>
        <v>43818</v>
      </c>
      <c r="BQ12" s="79">
        <f>Calcs_TA!BQ13</f>
        <v>43850</v>
      </c>
      <c r="BR12" s="79">
        <f>Calcs_TA!BR13</f>
        <v>43880</v>
      </c>
      <c r="BS12" s="79">
        <f>Calcs_TA!BS13</f>
        <v>43909</v>
      </c>
      <c r="BT12" s="79">
        <f>Calcs_TA!BT13</f>
        <v>43941</v>
      </c>
      <c r="BU12" s="79">
        <f>Calcs_TA!BU13</f>
        <v>43970</v>
      </c>
      <c r="BV12" s="79">
        <f>Calcs_TA!BV13</f>
        <v>44001</v>
      </c>
      <c r="BW12" s="79">
        <f>Calcs_TA!BW13</f>
        <v>44032</v>
      </c>
      <c r="BX12" s="79">
        <f>Calcs_TA!BX13</f>
        <v>44062</v>
      </c>
      <c r="BY12" s="79">
        <f>Calcs_TA!BY13</f>
        <v>44095</v>
      </c>
      <c r="BZ12" s="79">
        <f>Calcs_TA!BZ13</f>
        <v>44124</v>
      </c>
      <c r="CA12" s="79">
        <f>Calcs_TA!CA13</f>
        <v>44154</v>
      </c>
      <c r="CB12" s="79">
        <f>Calcs_TA!CB13</f>
        <v>44186</v>
      </c>
      <c r="CC12" s="79">
        <f>Calcs_TA!CC13</f>
        <v>44215</v>
      </c>
      <c r="CD12" s="79"/>
      <c r="CE12" s="79"/>
    </row>
    <row r="13" spans="1:83" hidden="1" outlineLevel="1" x14ac:dyDescent="0.2">
      <c r="B13" s="31" t="str">
        <f>Calcs_TA!D14</f>
        <v>Days in month</v>
      </c>
      <c r="J13" s="80">
        <f>Calcs_TA!J14</f>
        <v>31</v>
      </c>
      <c r="K13" s="80">
        <f>Calcs_TA!K14</f>
        <v>28</v>
      </c>
      <c r="L13" s="80">
        <f>Calcs_TA!L14</f>
        <v>32</v>
      </c>
      <c r="M13" s="80">
        <f>Calcs_TA!M14</f>
        <v>29</v>
      </c>
      <c r="N13" s="80">
        <f>Calcs_TA!N14</f>
        <v>31</v>
      </c>
      <c r="O13" s="80">
        <f>Calcs_TA!O14</f>
        <v>31</v>
      </c>
      <c r="P13" s="80">
        <f>Calcs_TA!P14</f>
        <v>30</v>
      </c>
      <c r="Q13" s="80">
        <f>Calcs_TA!Q14</f>
        <v>33</v>
      </c>
      <c r="R13" s="80">
        <f>Calcs_TA!R14</f>
        <v>28</v>
      </c>
      <c r="S13" s="80">
        <f>Calcs_TA!S14</f>
        <v>31</v>
      </c>
      <c r="T13" s="80">
        <f>Calcs_TA!T14</f>
        <v>32</v>
      </c>
      <c r="U13" s="80">
        <f>Calcs_TA!U14</f>
        <v>29</v>
      </c>
      <c r="V13" s="80">
        <f>Calcs_TA!V14</f>
        <v>31</v>
      </c>
      <c r="W13" s="80">
        <f>Calcs_TA!W14</f>
        <v>31</v>
      </c>
      <c r="X13" s="80">
        <f>Calcs_TA!X14</f>
        <v>29</v>
      </c>
      <c r="Y13" s="80">
        <f>Calcs_TA!Y14</f>
        <v>30</v>
      </c>
      <c r="Z13" s="80">
        <f>Calcs_TA!Z14</f>
        <v>32</v>
      </c>
      <c r="AA13" s="80">
        <f>Calcs_TA!AA14</f>
        <v>29</v>
      </c>
      <c r="AB13" s="80">
        <f>Calcs_TA!AB14</f>
        <v>31</v>
      </c>
      <c r="AC13" s="80">
        <f>Calcs_TA!AC14</f>
        <v>31</v>
      </c>
      <c r="AD13" s="80">
        <f>Calcs_TA!AD14</f>
        <v>30</v>
      </c>
      <c r="AE13" s="80">
        <f>Calcs_TA!AE14</f>
        <v>33</v>
      </c>
      <c r="AF13" s="80">
        <f>Calcs_TA!AF14</f>
        <v>28</v>
      </c>
      <c r="AG13" s="80">
        <f>Calcs_TA!AG14</f>
        <v>31</v>
      </c>
      <c r="AH13" s="80">
        <f>Calcs_TA!AH14</f>
        <v>32</v>
      </c>
      <c r="AI13" s="80">
        <f>Calcs_TA!AI14</f>
        <v>28</v>
      </c>
      <c r="AJ13" s="80">
        <f>Calcs_TA!AJ14</f>
        <v>30</v>
      </c>
      <c r="AK13" s="80">
        <f>Calcs_TA!AK14</f>
        <v>30</v>
      </c>
      <c r="AL13" s="80">
        <f>Calcs_TA!AL14</f>
        <v>31</v>
      </c>
      <c r="AM13" s="80">
        <f>Calcs_TA!AM14</f>
        <v>30</v>
      </c>
      <c r="AN13" s="80">
        <f>Calcs_TA!AN14</f>
        <v>33</v>
      </c>
      <c r="AO13" s="80">
        <f>Calcs_TA!AO14</f>
        <v>29</v>
      </c>
      <c r="AP13" s="80">
        <f>Calcs_TA!AP14</f>
        <v>30</v>
      </c>
      <c r="AQ13" s="80">
        <f>Calcs_TA!AQ14</f>
        <v>32</v>
      </c>
      <c r="AR13" s="80">
        <f>Calcs_TA!AR14</f>
        <v>29</v>
      </c>
      <c r="AS13" s="80">
        <f>Calcs_TA!AS14</f>
        <v>31</v>
      </c>
      <c r="AT13" s="80">
        <f>Calcs_TA!AT14</f>
        <v>31</v>
      </c>
      <c r="AU13" s="80">
        <f>Calcs_TA!AU14</f>
        <v>28</v>
      </c>
      <c r="AV13" s="80">
        <f>Calcs_TA!AV14</f>
        <v>31</v>
      </c>
      <c r="AW13" s="80">
        <f>Calcs_TA!AW14</f>
        <v>32</v>
      </c>
      <c r="AX13" s="80">
        <f>Calcs_TA!AX14</f>
        <v>29</v>
      </c>
      <c r="AY13" s="80">
        <f>Calcs_TA!AY14</f>
        <v>30</v>
      </c>
      <c r="AZ13" s="80">
        <f>Calcs_TA!AZ14</f>
        <v>32</v>
      </c>
      <c r="BA13" s="80">
        <f>Calcs_TA!BA14</f>
        <v>30</v>
      </c>
      <c r="BB13" s="80">
        <f>Calcs_TA!BB14</f>
        <v>33</v>
      </c>
      <c r="BC13" s="80">
        <f>Calcs_TA!BC14</f>
        <v>28</v>
      </c>
      <c r="BD13" s="80">
        <f>Calcs_TA!BD14</f>
        <v>30</v>
      </c>
      <c r="BE13" s="80">
        <f>Calcs_TA!BE14</f>
        <v>33</v>
      </c>
      <c r="BF13" s="80">
        <f>Calcs_TA!BF14</f>
        <v>29</v>
      </c>
      <c r="BG13" s="80">
        <f>Calcs_TA!BG14</f>
        <v>28</v>
      </c>
      <c r="BH13" s="80">
        <f>Calcs_TA!BH14</f>
        <v>35</v>
      </c>
      <c r="BI13" s="80">
        <f>Calcs_TA!BI14</f>
        <v>27</v>
      </c>
      <c r="BJ13" s="80">
        <f>Calcs_TA!BJ14</f>
        <v>30</v>
      </c>
      <c r="BK13" s="80">
        <f>Calcs_TA!BK14</f>
        <v>30</v>
      </c>
      <c r="BL13" s="80">
        <f>Calcs_TA!BL14</f>
        <v>31</v>
      </c>
      <c r="BM13" s="80">
        <f>Calcs_TA!BM14</f>
        <v>31</v>
      </c>
      <c r="BN13" s="80">
        <f>Calcs_TA!BN14</f>
        <v>32</v>
      </c>
      <c r="BO13" s="80">
        <f>Calcs_TA!BO14</f>
        <v>29</v>
      </c>
      <c r="BP13" s="80">
        <f>Calcs_TA!BP14</f>
        <v>30</v>
      </c>
      <c r="BQ13" s="80">
        <f>Calcs_TA!BQ14</f>
        <v>32</v>
      </c>
      <c r="BR13" s="80">
        <f>Calcs_TA!BR14</f>
        <v>30</v>
      </c>
      <c r="BS13" s="80">
        <f>Calcs_TA!BS14</f>
        <v>29</v>
      </c>
      <c r="BT13" s="80">
        <f>Calcs_TA!BT14</f>
        <v>32</v>
      </c>
      <c r="BU13" s="80">
        <f>Calcs_TA!BU14</f>
        <v>29</v>
      </c>
      <c r="BV13" s="80">
        <f>Calcs_TA!BV14</f>
        <v>31</v>
      </c>
      <c r="BW13" s="80">
        <f>Calcs_TA!BW14</f>
        <v>31</v>
      </c>
      <c r="BX13" s="80">
        <f>Calcs_TA!BX14</f>
        <v>30</v>
      </c>
      <c r="BY13" s="80">
        <f>Calcs_TA!BY14</f>
        <v>33</v>
      </c>
      <c r="BZ13" s="80">
        <f>Calcs_TA!BZ14</f>
        <v>29</v>
      </c>
      <c r="CA13" s="80">
        <f>Calcs_TA!CA14</f>
        <v>30</v>
      </c>
      <c r="CB13" s="80">
        <f>Calcs_TA!CB14</f>
        <v>32</v>
      </c>
      <c r="CC13" s="80">
        <f>Calcs_TA!CC14</f>
        <v>29</v>
      </c>
      <c r="CD13" s="80"/>
      <c r="CE13" s="80"/>
    </row>
    <row r="14" spans="1:83" collapsed="1" x14ac:dyDescent="0.2"/>
    <row r="15" spans="1:83" ht="12.5" x14ac:dyDescent="0.2">
      <c r="B15" s="81" t="s">
        <v>70</v>
      </c>
      <c r="C15" s="82"/>
      <c r="D15" s="82"/>
      <c r="E15" s="82"/>
      <c r="F15" s="82"/>
      <c r="G15" s="83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82"/>
      <c r="AJ15" s="82"/>
      <c r="AK15" s="82"/>
      <c r="AL15" s="82"/>
      <c r="AM15" s="82"/>
      <c r="AN15" s="82"/>
      <c r="AO15" s="82"/>
      <c r="AP15" s="82"/>
      <c r="AQ15" s="82"/>
      <c r="AR15" s="82"/>
      <c r="AS15" s="82"/>
      <c r="AT15" s="82"/>
      <c r="AU15" s="82"/>
      <c r="AV15" s="82"/>
      <c r="AW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  <c r="BI15" s="82"/>
      <c r="BJ15" s="82"/>
      <c r="BK15" s="82"/>
      <c r="BL15" s="82"/>
      <c r="BM15" s="82"/>
      <c r="BN15" s="82"/>
      <c r="BO15" s="82"/>
      <c r="BP15" s="82"/>
      <c r="BQ15" s="82"/>
      <c r="BR15" s="82"/>
      <c r="BS15" s="82"/>
      <c r="BT15" s="82"/>
      <c r="BU15" s="82"/>
      <c r="BV15" s="82"/>
      <c r="BW15" s="82"/>
      <c r="BX15" s="82"/>
      <c r="BY15" s="82"/>
      <c r="BZ15" s="82"/>
      <c r="CA15" s="82"/>
      <c r="CB15" s="82"/>
      <c r="CC15" s="82"/>
    </row>
    <row r="16" spans="1:83" x14ac:dyDescent="0.2">
      <c r="B16" s="82"/>
      <c r="C16" s="82"/>
      <c r="D16" s="82"/>
      <c r="E16" s="82"/>
      <c r="F16" s="82"/>
      <c r="G16" s="83"/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B16" s="82"/>
      <c r="AC16" s="82"/>
      <c r="AD16" s="82"/>
      <c r="AE16" s="82"/>
      <c r="AF16" s="82"/>
      <c r="AG16" s="82"/>
      <c r="AH16" s="82"/>
      <c r="AI16" s="82"/>
      <c r="AJ16" s="82"/>
      <c r="AK16" s="82"/>
      <c r="AL16" s="82"/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  <c r="BI16" s="82"/>
      <c r="BJ16" s="82"/>
      <c r="BK16" s="82"/>
      <c r="BL16" s="82"/>
      <c r="BM16" s="82"/>
      <c r="BN16" s="82"/>
      <c r="BO16" s="82"/>
      <c r="BP16" s="82"/>
      <c r="BQ16" s="82"/>
      <c r="BR16" s="82"/>
      <c r="BS16" s="82"/>
      <c r="BT16" s="82"/>
      <c r="BU16" s="82"/>
      <c r="BV16" s="82"/>
      <c r="BW16" s="82"/>
      <c r="BX16" s="82"/>
      <c r="BY16" s="82"/>
      <c r="BZ16" s="82"/>
      <c r="CA16" s="82"/>
      <c r="CB16" s="82"/>
      <c r="CC16" s="82"/>
    </row>
    <row r="17" spans="2:81" x14ac:dyDescent="0.2">
      <c r="B17" s="82" t="str">
        <f>Calcs_TA!D34</f>
        <v>Opening loan balance</v>
      </c>
      <c r="C17" s="82"/>
      <c r="D17" s="82"/>
      <c r="E17" s="82"/>
      <c r="F17" s="82"/>
      <c r="G17" s="83"/>
      <c r="H17" s="83"/>
      <c r="I17" s="82"/>
      <c r="J17" s="84">
        <f>Calcs_TA!J34</f>
        <v>250000</v>
      </c>
      <c r="K17" s="84">
        <f>Calcs_TA!K34</f>
        <v>247054.26183826732</v>
      </c>
      <c r="L17" s="84">
        <f>Calcs_TA!L34</f>
        <v>243989.92369088126</v>
      </c>
      <c r="M17" s="84">
        <f>Calcs_TA!M34</f>
        <v>241052.40260592016</v>
      </c>
      <c r="N17" s="84">
        <f>Calcs_TA!N34</f>
        <v>237998.46450755661</v>
      </c>
      <c r="O17" s="84">
        <f>Calcs_TA!O34</f>
        <v>234999.72230414223</v>
      </c>
      <c r="P17" s="84">
        <f>Calcs_TA!P34</f>
        <v>231987.73634064046</v>
      </c>
      <c r="Q17" s="84">
        <f>Calcs_TA!Q34</f>
        <v>228929.39781915818</v>
      </c>
      <c r="R17" s="84">
        <f>Calcs_TA!R34</f>
        <v>225955.83184004927</v>
      </c>
      <c r="S17" s="84">
        <f>Calcs_TA!S34</f>
        <v>222807.33118834157</v>
      </c>
      <c r="T17" s="84">
        <f>Calcs_TA!T34</f>
        <v>219741.49828106261</v>
      </c>
      <c r="U17" s="84">
        <f>Calcs_TA!U34</f>
        <v>216693.43094984963</v>
      </c>
      <c r="V17" s="84">
        <f>Calcs_TA!V34</f>
        <v>213538.85359324675</v>
      </c>
      <c r="W17" s="84">
        <f>Calcs_TA!W34</f>
        <v>210432.08702601356</v>
      </c>
      <c r="X17" s="84">
        <f>Calcs_TA!X34</f>
        <v>207311.5996157492</v>
      </c>
      <c r="Y17" s="84">
        <f>Calcs_TA!Y34</f>
        <v>204118.26115873037</v>
      </c>
      <c r="Z17" s="84">
        <f>Calcs_TA!Z34</f>
        <v>200940.80926386788</v>
      </c>
      <c r="AA17" s="84">
        <f>Calcs_TA!AA34</f>
        <v>197807.03139423131</v>
      </c>
      <c r="AB17" s="84">
        <f>Calcs_TA!AB34</f>
        <v>194574.42474850549</v>
      </c>
      <c r="AC17" s="84">
        <f>Calcs_TA!AC34</f>
        <v>191383.90295031964</v>
      </c>
      <c r="AD17" s="84">
        <f>Calcs_TA!AD34</f>
        <v>188179.29040928811</v>
      </c>
      <c r="AE17" s="84">
        <f>Calcs_TA!AE34</f>
        <v>184933.71579012665</v>
      </c>
      <c r="AF17" s="84">
        <f>Calcs_TA!AF34</f>
        <v>181753.30983742373</v>
      </c>
      <c r="AG17" s="84">
        <f>Calcs_TA!AG34</f>
        <v>178428.48350890554</v>
      </c>
      <c r="AH17" s="84">
        <f>Calcs_TA!AH34</f>
        <v>175166.65415653275</v>
      </c>
      <c r="AI17" s="84">
        <f>Calcs_TA!AI34</f>
        <v>171915.37438525615</v>
      </c>
      <c r="AJ17" s="84">
        <f>Calcs_TA!AJ34</f>
        <v>168551.30412792054</v>
      </c>
      <c r="AK17" s="84">
        <f>Calcs_TA!AK34</f>
        <v>165221.84003314556</v>
      </c>
      <c r="AL17" s="84">
        <f>Calcs_TA!AL34</f>
        <v>161878.1459000477</v>
      </c>
      <c r="AM17" s="84">
        <f>Calcs_TA!AM34</f>
        <v>158543.22300185167</v>
      </c>
      <c r="AN17" s="84">
        <f>Calcs_TA!AN34</f>
        <v>155170.98464253786</v>
      </c>
      <c r="AO17" s="84">
        <f>Calcs_TA!AO34</f>
        <v>151850.65308257667</v>
      </c>
      <c r="AP17" s="84">
        <f>Calcs_TA!AP34</f>
        <v>148428.17734508653</v>
      </c>
      <c r="AQ17" s="84">
        <f>Calcs_TA!AQ34</f>
        <v>145012.70755776024</v>
      </c>
      <c r="AR17" s="84">
        <f>Calcs_TA!AR34</f>
        <v>141623.95883541417</v>
      </c>
      <c r="AS17" s="84">
        <f>Calcs_TA!AS34</f>
        <v>138159.23144059602</v>
      </c>
      <c r="AT17" s="84">
        <f>Calcs_TA!AT34</f>
        <v>134719.55541881468</v>
      </c>
      <c r="AU17" s="84">
        <f>Calcs_TA!AU34</f>
        <v>131264.68827991799</v>
      </c>
      <c r="AV17" s="84">
        <f>Calcs_TA!AV34</f>
        <v>127738.46076513205</v>
      </c>
      <c r="AW17" s="84">
        <f>Calcs_TA!AW34</f>
        <v>124252.76205203882</v>
      </c>
      <c r="AX17" s="84">
        <f>Calcs_TA!AX34</f>
        <v>120769.37072881187</v>
      </c>
      <c r="AY17" s="84">
        <f>Calcs_TA!AY34</f>
        <v>117218.48246039166</v>
      </c>
      <c r="AZ17" s="84">
        <f>Calcs_TA!AZ34</f>
        <v>113669.62329218833</v>
      </c>
      <c r="BA17" s="84">
        <f>Calcs_TA!BA34</f>
        <v>110137.98445417677</v>
      </c>
      <c r="BB17" s="84">
        <f>Calcs_TA!BB34</f>
        <v>106558.86343148112</v>
      </c>
      <c r="BC17" s="84">
        <f>Calcs_TA!BC34</f>
        <v>103009.98830988111</v>
      </c>
      <c r="BD17" s="84">
        <f>Calcs_TA!BD34</f>
        <v>99371.051635762647</v>
      </c>
      <c r="BE17" s="84">
        <f>Calcs_TA!BE34</f>
        <v>95745.913037185557</v>
      </c>
      <c r="BF17" s="84">
        <f>Calcs_TA!BF34</f>
        <v>92146.202236471538</v>
      </c>
      <c r="BG17" s="84">
        <f>Calcs_TA!BG34</f>
        <v>88477.057151376124</v>
      </c>
      <c r="BH17" s="84">
        <f>Calcs_TA!BH34</f>
        <v>84780.148017622632</v>
      </c>
      <c r="BI17" s="84">
        <f>Calcs_TA!BI34</f>
        <v>81153.039635046327</v>
      </c>
      <c r="BJ17" s="84">
        <f>Calcs_TA!BJ34</f>
        <v>77415.353165498876</v>
      </c>
      <c r="BK17" s="84">
        <f>Calcs_TA!BK34</f>
        <v>73696.376513185867</v>
      </c>
      <c r="BL17" s="84">
        <f>Calcs_TA!BL34</f>
        <v>69961.505056550639</v>
      </c>
      <c r="BM17" s="84">
        <f>Calcs_TA!BM34</f>
        <v>66220.637980163607</v>
      </c>
      <c r="BN17" s="84">
        <f>Calcs_TA!BN34</f>
        <v>62463.249594935107</v>
      </c>
      <c r="BO17" s="84">
        <f>Calcs_TA!BO34</f>
        <v>58698.165809437975</v>
      </c>
      <c r="BP17" s="84">
        <f>Calcs_TA!BP34</f>
        <v>54890.829932748129</v>
      </c>
      <c r="BQ17" s="84">
        <f>Calcs_TA!BQ34</f>
        <v>51075.584085248571</v>
      </c>
      <c r="BR17" s="84">
        <f>Calcs_TA!BR34</f>
        <v>47258.585024660701</v>
      </c>
      <c r="BS17" s="84">
        <f>Calcs_TA!BS34</f>
        <v>43410.719171526573</v>
      </c>
      <c r="BT17" s="84">
        <f>Calcs_TA!BT34</f>
        <v>39540.223104343655</v>
      </c>
      <c r="BU17" s="84">
        <f>Calcs_TA!BU34</f>
        <v>35670.635439174344</v>
      </c>
      <c r="BV17" s="84">
        <f>Calcs_TA!BV34</f>
        <v>31768.161163036944</v>
      </c>
      <c r="BW17" s="84">
        <f>Calcs_TA!BW34</f>
        <v>27858.615537728423</v>
      </c>
      <c r="BX17" s="84">
        <f>Calcs_TA!BX34</f>
        <v>23931.803645165113</v>
      </c>
      <c r="BY17" s="84">
        <f>Calcs_TA!BY34</f>
        <v>19984.239767504925</v>
      </c>
      <c r="BZ17" s="84">
        <f>Calcs_TA!BZ34</f>
        <v>16028.345319309341</v>
      </c>
      <c r="CA17" s="84">
        <f>Calcs_TA!CA34</f>
        <v>12044.718787005484</v>
      </c>
      <c r="CB17" s="84">
        <f>Calcs_TA!CB34</f>
        <v>8046.3498343350793</v>
      </c>
      <c r="CC17" s="84">
        <f>Calcs_TA!CC34</f>
        <v>4033.1846208882498</v>
      </c>
    </row>
    <row r="18" spans="2:81" x14ac:dyDescent="0.2">
      <c r="B18" s="82" t="str">
        <f>Calcs_TA!D41</f>
        <v>Payment</v>
      </c>
      <c r="C18" s="82"/>
      <c r="D18" s="82"/>
      <c r="E18" s="82"/>
      <c r="F18" s="82"/>
      <c r="G18" s="83"/>
      <c r="H18" s="83"/>
      <c r="I18" s="82"/>
      <c r="J18" s="84">
        <f>Calcs_TA!J41</f>
        <v>4049.8477507737707</v>
      </c>
      <c r="K18" s="84">
        <f>Calcs_TA!K41</f>
        <v>4049.8477507737707</v>
      </c>
      <c r="L18" s="84">
        <f>Calcs_TA!L41</f>
        <v>4049.8477507737707</v>
      </c>
      <c r="M18" s="84">
        <f>Calcs_TA!M41</f>
        <v>4049.8477507737707</v>
      </c>
      <c r="N18" s="84">
        <f>Calcs_TA!N41</f>
        <v>4049.8477507737707</v>
      </c>
      <c r="O18" s="84">
        <f>Calcs_TA!O41</f>
        <v>4049.8477507737707</v>
      </c>
      <c r="P18" s="84">
        <f>Calcs_TA!P41</f>
        <v>4049.8477507737707</v>
      </c>
      <c r="Q18" s="84">
        <f>Calcs_TA!Q41</f>
        <v>4049.8477507737707</v>
      </c>
      <c r="R18" s="84">
        <f>Calcs_TA!R41</f>
        <v>4049.8477507737707</v>
      </c>
      <c r="S18" s="84">
        <f>Calcs_TA!S41</f>
        <v>4049.8477507737707</v>
      </c>
      <c r="T18" s="84">
        <f>Calcs_TA!T41</f>
        <v>4049.8477507737707</v>
      </c>
      <c r="U18" s="84">
        <f>Calcs_TA!U41</f>
        <v>4049.8477507737707</v>
      </c>
      <c r="V18" s="84">
        <f>Calcs_TA!V41</f>
        <v>4049.8477507737707</v>
      </c>
      <c r="W18" s="84">
        <f>Calcs_TA!W41</f>
        <v>4049.8477507737707</v>
      </c>
      <c r="X18" s="84">
        <f>Calcs_TA!X41</f>
        <v>4049.8477507737707</v>
      </c>
      <c r="Y18" s="84">
        <f>Calcs_TA!Y41</f>
        <v>4049.8477507737707</v>
      </c>
      <c r="Z18" s="84">
        <f>Calcs_TA!Z41</f>
        <v>4049.8477507737707</v>
      </c>
      <c r="AA18" s="84">
        <f>Calcs_TA!AA41</f>
        <v>4049.8477507737707</v>
      </c>
      <c r="AB18" s="84">
        <f>Calcs_TA!AB41</f>
        <v>4049.8477507737707</v>
      </c>
      <c r="AC18" s="84">
        <f>Calcs_TA!AC41</f>
        <v>4049.8477507737707</v>
      </c>
      <c r="AD18" s="84">
        <f>Calcs_TA!AD41</f>
        <v>4049.8477507737707</v>
      </c>
      <c r="AE18" s="84">
        <f>Calcs_TA!AE41</f>
        <v>4049.8477507737707</v>
      </c>
      <c r="AF18" s="84">
        <f>Calcs_TA!AF41</f>
        <v>4049.8477507737707</v>
      </c>
      <c r="AG18" s="84">
        <f>Calcs_TA!AG41</f>
        <v>4049.8477507737707</v>
      </c>
      <c r="AH18" s="84">
        <f>Calcs_TA!AH41</f>
        <v>4049.8477507737707</v>
      </c>
      <c r="AI18" s="84">
        <f>Calcs_TA!AI41</f>
        <v>4049.8477507737707</v>
      </c>
      <c r="AJ18" s="84">
        <f>Calcs_TA!AJ41</f>
        <v>4049.8477507737707</v>
      </c>
      <c r="AK18" s="84">
        <f>Calcs_TA!AK41</f>
        <v>4049.8477507737707</v>
      </c>
      <c r="AL18" s="84">
        <f>Calcs_TA!AL41</f>
        <v>4049.8477507737707</v>
      </c>
      <c r="AM18" s="84">
        <f>Calcs_TA!AM41</f>
        <v>4049.8477507737707</v>
      </c>
      <c r="AN18" s="84">
        <f>Calcs_TA!AN41</f>
        <v>4049.8477507737707</v>
      </c>
      <c r="AO18" s="84">
        <f>Calcs_TA!AO41</f>
        <v>4049.8477507737707</v>
      </c>
      <c r="AP18" s="84">
        <f>Calcs_TA!AP41</f>
        <v>4049.8477507737707</v>
      </c>
      <c r="AQ18" s="84">
        <f>Calcs_TA!AQ41</f>
        <v>4049.8477507737707</v>
      </c>
      <c r="AR18" s="84">
        <f>Calcs_TA!AR41</f>
        <v>4049.8477507737707</v>
      </c>
      <c r="AS18" s="84">
        <f>Calcs_TA!AS41</f>
        <v>4049.8477507737707</v>
      </c>
      <c r="AT18" s="84">
        <f>Calcs_TA!AT41</f>
        <v>4049.8477507737707</v>
      </c>
      <c r="AU18" s="84">
        <f>Calcs_TA!AU41</f>
        <v>4049.8477507737707</v>
      </c>
      <c r="AV18" s="84">
        <f>Calcs_TA!AV41</f>
        <v>4049.8477507737707</v>
      </c>
      <c r="AW18" s="84">
        <f>Calcs_TA!AW41</f>
        <v>4049.8477507737707</v>
      </c>
      <c r="AX18" s="84">
        <f>Calcs_TA!AX41</f>
        <v>4049.8477507737707</v>
      </c>
      <c r="AY18" s="84">
        <f>Calcs_TA!AY41</f>
        <v>4049.8477507737707</v>
      </c>
      <c r="AZ18" s="84">
        <f>Calcs_TA!AZ41</f>
        <v>4049.8477507737707</v>
      </c>
      <c r="BA18" s="84">
        <f>Calcs_TA!BA41</f>
        <v>4049.8477507737707</v>
      </c>
      <c r="BB18" s="84">
        <f>Calcs_TA!BB41</f>
        <v>4049.8477507737707</v>
      </c>
      <c r="BC18" s="84">
        <f>Calcs_TA!BC41</f>
        <v>4049.8477507737707</v>
      </c>
      <c r="BD18" s="84">
        <f>Calcs_TA!BD41</f>
        <v>4049.8477507737707</v>
      </c>
      <c r="BE18" s="84">
        <f>Calcs_TA!BE41</f>
        <v>4049.8477507737707</v>
      </c>
      <c r="BF18" s="84">
        <f>Calcs_TA!BF41</f>
        <v>4049.8477507737707</v>
      </c>
      <c r="BG18" s="84">
        <f>Calcs_TA!BG41</f>
        <v>4049.8477507737707</v>
      </c>
      <c r="BH18" s="84">
        <f>Calcs_TA!BH41</f>
        <v>4049.8477507737707</v>
      </c>
      <c r="BI18" s="84">
        <f>Calcs_TA!BI41</f>
        <v>4049.8477507737707</v>
      </c>
      <c r="BJ18" s="84">
        <f>Calcs_TA!BJ41</f>
        <v>4049.8477507737707</v>
      </c>
      <c r="BK18" s="84">
        <f>Calcs_TA!BK41</f>
        <v>4049.8477507737707</v>
      </c>
      <c r="BL18" s="84">
        <f>Calcs_TA!BL41</f>
        <v>4049.8477507737707</v>
      </c>
      <c r="BM18" s="84">
        <f>Calcs_TA!BM41</f>
        <v>4049.8477507737707</v>
      </c>
      <c r="BN18" s="84">
        <f>Calcs_TA!BN41</f>
        <v>4049.8477507737707</v>
      </c>
      <c r="BO18" s="84">
        <f>Calcs_TA!BO41</f>
        <v>4049.8477507737707</v>
      </c>
      <c r="BP18" s="84">
        <f>Calcs_TA!BP41</f>
        <v>4049.8477507737707</v>
      </c>
      <c r="BQ18" s="84">
        <f>Calcs_TA!BQ41</f>
        <v>4049.8477507737707</v>
      </c>
      <c r="BR18" s="84">
        <f>Calcs_TA!BR41</f>
        <v>4049.8477507737707</v>
      </c>
      <c r="BS18" s="84">
        <f>Calcs_TA!BS41</f>
        <v>4049.8477507737707</v>
      </c>
      <c r="BT18" s="84">
        <f>Calcs_TA!BT41</f>
        <v>4049.8477507737707</v>
      </c>
      <c r="BU18" s="84">
        <f>Calcs_TA!BU41</f>
        <v>4049.8477507737707</v>
      </c>
      <c r="BV18" s="84">
        <f>Calcs_TA!BV41</f>
        <v>4049.8477507737707</v>
      </c>
      <c r="BW18" s="84">
        <f>Calcs_TA!BW41</f>
        <v>4049.8477507737707</v>
      </c>
      <c r="BX18" s="84">
        <f>Calcs_TA!BX41</f>
        <v>4049.8477507737707</v>
      </c>
      <c r="BY18" s="84">
        <f>Calcs_TA!BY41</f>
        <v>4049.8477507737707</v>
      </c>
      <c r="BZ18" s="84">
        <f>Calcs_TA!BZ41</f>
        <v>4049.8477507737707</v>
      </c>
      <c r="CA18" s="84">
        <f>Calcs_TA!CA41</f>
        <v>4049.8477507737707</v>
      </c>
      <c r="CB18" s="84">
        <f>Calcs_TA!CB41</f>
        <v>4049.8477507737707</v>
      </c>
      <c r="CC18" s="84">
        <f>Calcs_TA!CC41</f>
        <v>4049.8477507737707</v>
      </c>
    </row>
    <row r="19" spans="2:81" x14ac:dyDescent="0.2">
      <c r="B19" s="82" t="str">
        <f>Calcs_TA!D42</f>
        <v>Interest charged</v>
      </c>
      <c r="C19" s="82"/>
      <c r="D19" s="82"/>
      <c r="E19" s="82"/>
      <c r="F19" s="82"/>
      <c r="G19" s="83"/>
      <c r="H19" s="83"/>
      <c r="I19" s="82"/>
      <c r="J19" s="84">
        <f>Calcs_TA!J42</f>
        <v>1104.1095890410959</v>
      </c>
      <c r="K19" s="84">
        <f>Calcs_TA!K42</f>
        <v>985.50960338771847</v>
      </c>
      <c r="L19" s="84">
        <f>Calcs_TA!L42</f>
        <v>1112.3266658126752</v>
      </c>
      <c r="M19" s="84">
        <f>Calcs_TA!M42</f>
        <v>995.90965241021252</v>
      </c>
      <c r="N19" s="84">
        <f>Calcs_TA!N42</f>
        <v>1051.1055473594006</v>
      </c>
      <c r="O19" s="84">
        <f>Calcs_TA!O42</f>
        <v>1037.8617872719924</v>
      </c>
      <c r="P19" s="84">
        <f>Calcs_TA!P42</f>
        <v>991.50922929150443</v>
      </c>
      <c r="Q19" s="84">
        <f>Calcs_TA!Q42</f>
        <v>1076.2817716648642</v>
      </c>
      <c r="R19" s="84">
        <f>Calcs_TA!R42</f>
        <v>901.34709906605951</v>
      </c>
      <c r="S19" s="84">
        <f>Calcs_TA!S42</f>
        <v>984.01484349481268</v>
      </c>
      <c r="T19" s="84">
        <f>Calcs_TA!T42</f>
        <v>1001.7804195607895</v>
      </c>
      <c r="U19" s="84">
        <f>Calcs_TA!U42</f>
        <v>895.27039417088565</v>
      </c>
      <c r="V19" s="84">
        <f>Calcs_TA!V42</f>
        <v>943.08118354058558</v>
      </c>
      <c r="W19" s="84">
        <f>Calcs_TA!W42</f>
        <v>929.36034050940771</v>
      </c>
      <c r="X19" s="84">
        <f>Calcs_TA!X42</f>
        <v>856.50929375493081</v>
      </c>
      <c r="Y19" s="84">
        <f>Calcs_TA!Y42</f>
        <v>872.39585591128593</v>
      </c>
      <c r="Z19" s="84">
        <f>Calcs_TA!Z42</f>
        <v>916.0698811371949</v>
      </c>
      <c r="AA19" s="84">
        <f>Calcs_TA!AA42</f>
        <v>817.24110504794737</v>
      </c>
      <c r="AB19" s="84">
        <f>Calcs_TA!AB42</f>
        <v>859.32595258792003</v>
      </c>
      <c r="AC19" s="84">
        <f>Calcs_TA!AC42</f>
        <v>845.23520974223356</v>
      </c>
      <c r="AD19" s="84">
        <f>Calcs_TA!AD42</f>
        <v>804.27313161229984</v>
      </c>
      <c r="AE19" s="84">
        <f>Calcs_TA!AE42</f>
        <v>869.44179807084197</v>
      </c>
      <c r="AF19" s="84">
        <f>Calcs_TA!AF42</f>
        <v>725.021422255586</v>
      </c>
      <c r="AG19" s="84">
        <f>Calcs_TA!AG42</f>
        <v>788.01839840097455</v>
      </c>
      <c r="AH19" s="84">
        <f>Calcs_TA!AH42</f>
        <v>798.56797949717941</v>
      </c>
      <c r="AI19" s="84">
        <f>Calcs_TA!AI42</f>
        <v>685.77749343817243</v>
      </c>
      <c r="AJ19" s="84">
        <f>Calcs_TA!AJ42</f>
        <v>720.38365599878375</v>
      </c>
      <c r="AK19" s="84">
        <f>Calcs_TA!AK42</f>
        <v>706.1536176759098</v>
      </c>
      <c r="AL19" s="84">
        <f>Calcs_TA!AL42</f>
        <v>714.9248525777449</v>
      </c>
      <c r="AM19" s="84">
        <f>Calcs_TA!AM42</f>
        <v>677.60939145996861</v>
      </c>
      <c r="AN19" s="84">
        <f>Calcs_TA!AN42</f>
        <v>729.51619081258889</v>
      </c>
      <c r="AO19" s="84">
        <f>Calcs_TA!AO42</f>
        <v>627.37201328363176</v>
      </c>
      <c r="AP19" s="84">
        <f>Calcs_TA!AP42</f>
        <v>634.37796344749302</v>
      </c>
      <c r="AQ19" s="84">
        <f>Calcs_TA!AQ42</f>
        <v>661.09902842770691</v>
      </c>
      <c r="AR19" s="84">
        <f>Calcs_TA!AR42</f>
        <v>585.12035595562895</v>
      </c>
      <c r="AS19" s="84">
        <f>Calcs_TA!AS42</f>
        <v>610.17172899244042</v>
      </c>
      <c r="AT19" s="84">
        <f>Calcs_TA!AT42</f>
        <v>594.98061187706639</v>
      </c>
      <c r="AU19" s="84">
        <f>Calcs_TA!AU42</f>
        <v>523.62023598783719</v>
      </c>
      <c r="AV19" s="84">
        <f>Calcs_TA!AV42</f>
        <v>564.14903768052841</v>
      </c>
      <c r="AW19" s="84">
        <f>Calcs_TA!AW42</f>
        <v>566.45642754682899</v>
      </c>
      <c r="AX19" s="84">
        <f>Calcs_TA!AX42</f>
        <v>498.95948235355701</v>
      </c>
      <c r="AY19" s="84">
        <f>Calcs_TA!AY42</f>
        <v>500.988582570441</v>
      </c>
      <c r="AZ19" s="84">
        <f>Calcs_TA!AZ42</f>
        <v>518.2089127621955</v>
      </c>
      <c r="BA19" s="84">
        <f>Calcs_TA!BA42</f>
        <v>470.72672807812535</v>
      </c>
      <c r="BB19" s="84">
        <f>Calcs_TA!BB42</f>
        <v>500.97262917375781</v>
      </c>
      <c r="BC19" s="84">
        <f>Calcs_TA!BC42</f>
        <v>410.91107665530654</v>
      </c>
      <c r="BD19" s="84">
        <f>Calcs_TA!BD42</f>
        <v>424.7091521966841</v>
      </c>
      <c r="BE19" s="84">
        <f>Calcs_TA!BE42</f>
        <v>450.13695005975455</v>
      </c>
      <c r="BF19" s="84">
        <f>Calcs_TA!BF42</f>
        <v>380.70266567835358</v>
      </c>
      <c r="BG19" s="84">
        <f>Calcs_TA!BG42</f>
        <v>352.93861702028391</v>
      </c>
      <c r="BH19" s="84">
        <f>Calcs_TA!BH42</f>
        <v>422.73936819746081</v>
      </c>
      <c r="BI19" s="84">
        <f>Calcs_TA!BI42</f>
        <v>312.16128122631517</v>
      </c>
      <c r="BJ19" s="84">
        <f>Calcs_TA!BJ42</f>
        <v>330.87109846076231</v>
      </c>
      <c r="BK19" s="84">
        <f>Calcs_TA!BK42</f>
        <v>314.97629413854776</v>
      </c>
      <c r="BL19" s="84">
        <f>Calcs_TA!BL42</f>
        <v>308.98067438673871</v>
      </c>
      <c r="BM19" s="84">
        <f>Calcs_TA!BM42</f>
        <v>292.45936554527049</v>
      </c>
      <c r="BN19" s="84">
        <f>Calcs_TA!BN42</f>
        <v>284.76396527663564</v>
      </c>
      <c r="BO19" s="84">
        <f>Calcs_TA!BO42</f>
        <v>242.51187408392454</v>
      </c>
      <c r="BP19" s="84">
        <f>Calcs_TA!BP42</f>
        <v>234.60190327421117</v>
      </c>
      <c r="BQ19" s="84">
        <f>Calcs_TA!BQ42</f>
        <v>232.84869018590032</v>
      </c>
      <c r="BR19" s="84">
        <f>Calcs_TA!BR42</f>
        <v>201.98189763964572</v>
      </c>
      <c r="BS19" s="84">
        <f>Calcs_TA!BS42</f>
        <v>179.35168359085498</v>
      </c>
      <c r="BT19" s="84">
        <f>Calcs_TA!BT42</f>
        <v>180.26008560445985</v>
      </c>
      <c r="BU19" s="84">
        <f>Calcs_TA!BU42</f>
        <v>147.37347463636962</v>
      </c>
      <c r="BV19" s="84">
        <f>Calcs_TA!BV42</f>
        <v>140.30212546524808</v>
      </c>
      <c r="BW19" s="84">
        <f>Calcs_TA!BW42</f>
        <v>123.03585821046087</v>
      </c>
      <c r="BX19" s="84">
        <f>Calcs_TA!BX42</f>
        <v>102.2838731135824</v>
      </c>
      <c r="BY19" s="84">
        <f>Calcs_TA!BY42</f>
        <v>93.953302578187532</v>
      </c>
      <c r="BZ19" s="84">
        <f>Calcs_TA!BZ42</f>
        <v>66.221218469913666</v>
      </c>
      <c r="CA19" s="84">
        <f>Calcs_TA!CA42</f>
        <v>51.478798103365897</v>
      </c>
      <c r="CB19" s="84">
        <f>Calcs_TA!CB42</f>
        <v>36.682537326941294</v>
      </c>
      <c r="CC19" s="84">
        <f>Calcs_TA!CC42</f>
        <v>16.663129885752003</v>
      </c>
    </row>
    <row r="20" spans="2:81" x14ac:dyDescent="0.2">
      <c r="B20" s="85" t="s">
        <v>72</v>
      </c>
      <c r="C20" s="82"/>
      <c r="D20" s="82"/>
      <c r="E20" s="82"/>
      <c r="F20" s="82"/>
      <c r="G20" s="83"/>
      <c r="H20" s="83"/>
      <c r="I20" s="82"/>
      <c r="J20" s="84">
        <f>Calcs_TA!J43</f>
        <v>2945.7381617326746</v>
      </c>
      <c r="K20" s="84">
        <f>Calcs_TA!K43</f>
        <v>3064.3381473860522</v>
      </c>
      <c r="L20" s="84">
        <f>Calcs_TA!L43</f>
        <v>2937.5210849610958</v>
      </c>
      <c r="M20" s="84">
        <f>Calcs_TA!M43</f>
        <v>3053.9380983635583</v>
      </c>
      <c r="N20" s="84">
        <f>Calcs_TA!N43</f>
        <v>2998.7422034143701</v>
      </c>
      <c r="O20" s="84">
        <f>Calcs_TA!O43</f>
        <v>3011.9859635017783</v>
      </c>
      <c r="P20" s="84">
        <f>Calcs_TA!P43</f>
        <v>3058.3385214822665</v>
      </c>
      <c r="Q20" s="84">
        <f>Calcs_TA!Q43</f>
        <v>2973.5659791089065</v>
      </c>
      <c r="R20" s="84">
        <f>Calcs_TA!R43</f>
        <v>3148.5006517077113</v>
      </c>
      <c r="S20" s="84">
        <f>Calcs_TA!S43</f>
        <v>3065.8329072789579</v>
      </c>
      <c r="T20" s="84">
        <f>Calcs_TA!T43</f>
        <v>3048.0673312129811</v>
      </c>
      <c r="U20" s="84">
        <f>Calcs_TA!U43</f>
        <v>3154.5773566028852</v>
      </c>
      <c r="V20" s="84">
        <f>Calcs_TA!V43</f>
        <v>3106.766567233185</v>
      </c>
      <c r="W20" s="84">
        <f>Calcs_TA!W43</f>
        <v>3120.487410264363</v>
      </c>
      <c r="X20" s="84">
        <f>Calcs_TA!X43</f>
        <v>3193.33845701884</v>
      </c>
      <c r="Y20" s="84">
        <f>Calcs_TA!Y43</f>
        <v>3177.4518948624846</v>
      </c>
      <c r="Z20" s="84">
        <f>Calcs_TA!Z43</f>
        <v>3133.7778696365758</v>
      </c>
      <c r="AA20" s="84">
        <f>Calcs_TA!AA43</f>
        <v>3232.6066457258235</v>
      </c>
      <c r="AB20" s="84">
        <f>Calcs_TA!AB43</f>
        <v>3190.5217981858505</v>
      </c>
      <c r="AC20" s="84">
        <f>Calcs_TA!AC43</f>
        <v>3204.6125410315371</v>
      </c>
      <c r="AD20" s="84">
        <f>Calcs_TA!AD43</f>
        <v>3245.5746191614708</v>
      </c>
      <c r="AE20" s="84">
        <f>Calcs_TA!AE43</f>
        <v>3180.4059527029285</v>
      </c>
      <c r="AF20" s="84">
        <f>Calcs_TA!AF43</f>
        <v>3324.8263285181847</v>
      </c>
      <c r="AG20" s="84">
        <f>Calcs_TA!AG43</f>
        <v>3261.8293523727962</v>
      </c>
      <c r="AH20" s="84">
        <f>Calcs_TA!AH43</f>
        <v>3251.2797712765914</v>
      </c>
      <c r="AI20" s="84">
        <f>Calcs_TA!AI43</f>
        <v>3364.0702573355984</v>
      </c>
      <c r="AJ20" s="84">
        <f>Calcs_TA!AJ43</f>
        <v>3329.4640947749867</v>
      </c>
      <c r="AK20" s="84">
        <f>Calcs_TA!AK43</f>
        <v>3343.6941330978607</v>
      </c>
      <c r="AL20" s="84">
        <f>Calcs_TA!AL43</f>
        <v>3334.9228981960259</v>
      </c>
      <c r="AM20" s="84">
        <f>Calcs_TA!AM43</f>
        <v>3372.238359313802</v>
      </c>
      <c r="AN20" s="84">
        <f>Calcs_TA!AN43</f>
        <v>3320.3315599611819</v>
      </c>
      <c r="AO20" s="84">
        <f>Calcs_TA!AO43</f>
        <v>3422.4757374901392</v>
      </c>
      <c r="AP20" s="84">
        <f>Calcs_TA!AP43</f>
        <v>3415.4697873262776</v>
      </c>
      <c r="AQ20" s="84">
        <f>Calcs_TA!AQ43</f>
        <v>3388.7487223460639</v>
      </c>
      <c r="AR20" s="84">
        <f>Calcs_TA!AR43</f>
        <v>3464.7273948181419</v>
      </c>
      <c r="AS20" s="84">
        <f>Calcs_TA!AS43</f>
        <v>3439.6760217813303</v>
      </c>
      <c r="AT20" s="84">
        <f>Calcs_TA!AT43</f>
        <v>3454.8671388967041</v>
      </c>
      <c r="AU20" s="84">
        <f>Calcs_TA!AU43</f>
        <v>3526.2275147859336</v>
      </c>
      <c r="AV20" s="84">
        <f>Calcs_TA!AV43</f>
        <v>3485.6987130932421</v>
      </c>
      <c r="AW20" s="84">
        <f>Calcs_TA!AW43</f>
        <v>3483.3913232269415</v>
      </c>
      <c r="AX20" s="84">
        <f>Calcs_TA!AX43</f>
        <v>3550.8882684202135</v>
      </c>
      <c r="AY20" s="84">
        <f>Calcs_TA!AY43</f>
        <v>3548.8591682033298</v>
      </c>
      <c r="AZ20" s="84">
        <f>Calcs_TA!AZ43</f>
        <v>3531.638838011575</v>
      </c>
      <c r="BA20" s="84">
        <f>Calcs_TA!BA43</f>
        <v>3579.1210226956455</v>
      </c>
      <c r="BB20" s="84">
        <f>Calcs_TA!BB43</f>
        <v>3548.8751216000128</v>
      </c>
      <c r="BC20" s="84">
        <f>Calcs_TA!BC43</f>
        <v>3638.936674118464</v>
      </c>
      <c r="BD20" s="84">
        <f>Calcs_TA!BD43</f>
        <v>3625.1385985770867</v>
      </c>
      <c r="BE20" s="84">
        <f>Calcs_TA!BE43</f>
        <v>3599.7108007140159</v>
      </c>
      <c r="BF20" s="84">
        <f>Calcs_TA!BF43</f>
        <v>3669.145085095417</v>
      </c>
      <c r="BG20" s="84">
        <f>Calcs_TA!BG43</f>
        <v>3696.9091337534869</v>
      </c>
      <c r="BH20" s="84">
        <f>Calcs_TA!BH43</f>
        <v>3627.1083825763099</v>
      </c>
      <c r="BI20" s="84">
        <f>Calcs_TA!BI43</f>
        <v>3737.6864695474555</v>
      </c>
      <c r="BJ20" s="84">
        <f>Calcs_TA!BJ43</f>
        <v>3718.9766523130083</v>
      </c>
      <c r="BK20" s="84">
        <f>Calcs_TA!BK43</f>
        <v>3734.8714566352228</v>
      </c>
      <c r="BL20" s="84">
        <f>Calcs_TA!BL43</f>
        <v>3740.8670763870318</v>
      </c>
      <c r="BM20" s="84">
        <f>Calcs_TA!BM43</f>
        <v>3757.3883852285003</v>
      </c>
      <c r="BN20" s="84">
        <f>Calcs_TA!BN43</f>
        <v>3765.0837854971351</v>
      </c>
      <c r="BO20" s="84">
        <f>Calcs_TA!BO43</f>
        <v>3807.3358766898464</v>
      </c>
      <c r="BP20" s="84">
        <f>Calcs_TA!BP43</f>
        <v>3815.2458474995597</v>
      </c>
      <c r="BQ20" s="84">
        <f>Calcs_TA!BQ43</f>
        <v>3816.9990605878702</v>
      </c>
      <c r="BR20" s="84">
        <f>Calcs_TA!BR43</f>
        <v>3847.8658531341248</v>
      </c>
      <c r="BS20" s="84">
        <f>Calcs_TA!BS43</f>
        <v>3870.4960671829158</v>
      </c>
      <c r="BT20" s="84">
        <f>Calcs_TA!BT43</f>
        <v>3869.5876651693106</v>
      </c>
      <c r="BU20" s="84">
        <f>Calcs_TA!BU43</f>
        <v>3902.4742761374009</v>
      </c>
      <c r="BV20" s="84">
        <f>Calcs_TA!BV43</f>
        <v>3909.5456253085226</v>
      </c>
      <c r="BW20" s="84">
        <f>Calcs_TA!BW43</f>
        <v>3926.8118925633098</v>
      </c>
      <c r="BX20" s="84">
        <f>Calcs_TA!BX43</f>
        <v>3947.5638776601882</v>
      </c>
      <c r="BY20" s="84">
        <f>Calcs_TA!BY43</f>
        <v>3955.8944481955832</v>
      </c>
      <c r="BZ20" s="84">
        <f>Calcs_TA!BZ43</f>
        <v>3983.6265323038569</v>
      </c>
      <c r="CA20" s="84">
        <f>Calcs_TA!CA43</f>
        <v>3998.3689526704047</v>
      </c>
      <c r="CB20" s="84">
        <f>Calcs_TA!CB43</f>
        <v>4013.1652134468295</v>
      </c>
      <c r="CC20" s="84">
        <f>Calcs_TA!CC43</f>
        <v>4033.1846208880188</v>
      </c>
    </row>
    <row r="21" spans="2:81" x14ac:dyDescent="0.2">
      <c r="B21" s="85"/>
      <c r="C21" s="82"/>
      <c r="D21" s="82"/>
      <c r="E21" s="82"/>
      <c r="F21" s="82"/>
      <c r="G21" s="83"/>
      <c r="H21" s="83"/>
      <c r="I21" s="82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84"/>
      <c r="BS21" s="84"/>
      <c r="BT21" s="84"/>
      <c r="BU21" s="84"/>
      <c r="BV21" s="84"/>
      <c r="BW21" s="84"/>
      <c r="BX21" s="84"/>
      <c r="BY21" s="84"/>
      <c r="BZ21" s="84"/>
      <c r="CA21" s="84"/>
      <c r="CB21" s="84"/>
      <c r="CC21" s="84"/>
    </row>
    <row r="22" spans="2:81" x14ac:dyDescent="0.2">
      <c r="B22" s="108" t="str">
        <f>Calcs_TA!D36</f>
        <v>Closing loan balance</v>
      </c>
      <c r="C22" s="82"/>
      <c r="D22" s="82"/>
      <c r="E22" s="82"/>
      <c r="F22" s="82"/>
      <c r="G22" s="83"/>
      <c r="H22" s="83"/>
      <c r="I22" s="82"/>
      <c r="J22" s="84">
        <f>Calcs_TA!J36</f>
        <v>247054.26183826732</v>
      </c>
      <c r="K22" s="84">
        <f>Calcs_TA!K36</f>
        <v>243989.92369088126</v>
      </c>
      <c r="L22" s="84">
        <f>Calcs_TA!L36</f>
        <v>241052.40260592016</v>
      </c>
      <c r="M22" s="84">
        <f>Calcs_TA!M36</f>
        <v>237998.46450755661</v>
      </c>
      <c r="N22" s="84">
        <f>Calcs_TA!N36</f>
        <v>234999.72230414223</v>
      </c>
      <c r="O22" s="84">
        <f>Calcs_TA!O36</f>
        <v>231987.73634064046</v>
      </c>
      <c r="P22" s="84">
        <f>Calcs_TA!P36</f>
        <v>228929.39781915818</v>
      </c>
      <c r="Q22" s="84">
        <f>Calcs_TA!Q36</f>
        <v>225955.83184004927</v>
      </c>
      <c r="R22" s="84">
        <f>Calcs_TA!R36</f>
        <v>222807.33118834157</v>
      </c>
      <c r="S22" s="84">
        <f>Calcs_TA!S36</f>
        <v>219741.49828106261</v>
      </c>
      <c r="T22" s="84">
        <f>Calcs_TA!T36</f>
        <v>216693.43094984963</v>
      </c>
      <c r="U22" s="84">
        <f>Calcs_TA!U36</f>
        <v>213538.85359324675</v>
      </c>
      <c r="V22" s="84">
        <f>Calcs_TA!V36</f>
        <v>210432.08702601356</v>
      </c>
      <c r="W22" s="84">
        <f>Calcs_TA!W36</f>
        <v>207311.5996157492</v>
      </c>
      <c r="X22" s="84">
        <f>Calcs_TA!X36</f>
        <v>204118.26115873037</v>
      </c>
      <c r="Y22" s="84">
        <f>Calcs_TA!Y36</f>
        <v>200940.80926386788</v>
      </c>
      <c r="Z22" s="84">
        <f>Calcs_TA!Z36</f>
        <v>197807.03139423131</v>
      </c>
      <c r="AA22" s="84">
        <f>Calcs_TA!AA36</f>
        <v>194574.42474850549</v>
      </c>
      <c r="AB22" s="84">
        <f>Calcs_TA!AB36</f>
        <v>191383.90295031964</v>
      </c>
      <c r="AC22" s="84">
        <f>Calcs_TA!AC36</f>
        <v>188179.29040928811</v>
      </c>
      <c r="AD22" s="84">
        <f>Calcs_TA!AD36</f>
        <v>184933.71579012665</v>
      </c>
      <c r="AE22" s="84">
        <f>Calcs_TA!AE36</f>
        <v>181753.30983742373</v>
      </c>
      <c r="AF22" s="84">
        <f>Calcs_TA!AF36</f>
        <v>178428.48350890554</v>
      </c>
      <c r="AG22" s="84">
        <f>Calcs_TA!AG36</f>
        <v>175166.65415653275</v>
      </c>
      <c r="AH22" s="84">
        <f>Calcs_TA!AH36</f>
        <v>171915.37438525615</v>
      </c>
      <c r="AI22" s="84">
        <f>Calcs_TA!AI36</f>
        <v>168551.30412792054</v>
      </c>
      <c r="AJ22" s="84">
        <f>Calcs_TA!AJ36</f>
        <v>165221.84003314556</v>
      </c>
      <c r="AK22" s="84">
        <f>Calcs_TA!AK36</f>
        <v>161878.1459000477</v>
      </c>
      <c r="AL22" s="84">
        <f>Calcs_TA!AL36</f>
        <v>158543.22300185167</v>
      </c>
      <c r="AM22" s="84">
        <f>Calcs_TA!AM36</f>
        <v>155170.98464253786</v>
      </c>
      <c r="AN22" s="84">
        <f>Calcs_TA!AN36</f>
        <v>151850.65308257667</v>
      </c>
      <c r="AO22" s="84">
        <f>Calcs_TA!AO36</f>
        <v>148428.17734508653</v>
      </c>
      <c r="AP22" s="84">
        <f>Calcs_TA!AP36</f>
        <v>145012.70755776024</v>
      </c>
      <c r="AQ22" s="84">
        <f>Calcs_TA!AQ36</f>
        <v>141623.95883541417</v>
      </c>
      <c r="AR22" s="84">
        <f>Calcs_TA!AR36</f>
        <v>138159.23144059602</v>
      </c>
      <c r="AS22" s="84">
        <f>Calcs_TA!AS36</f>
        <v>134719.55541881468</v>
      </c>
      <c r="AT22" s="84">
        <f>Calcs_TA!AT36</f>
        <v>131264.68827991799</v>
      </c>
      <c r="AU22" s="84">
        <f>Calcs_TA!AU36</f>
        <v>127738.46076513205</v>
      </c>
      <c r="AV22" s="84">
        <f>Calcs_TA!AV36</f>
        <v>124252.76205203882</v>
      </c>
      <c r="AW22" s="84">
        <f>Calcs_TA!AW36</f>
        <v>120769.37072881187</v>
      </c>
      <c r="AX22" s="84">
        <f>Calcs_TA!AX36</f>
        <v>117218.48246039166</v>
      </c>
      <c r="AY22" s="84">
        <f>Calcs_TA!AY36</f>
        <v>113669.62329218833</v>
      </c>
      <c r="AZ22" s="84">
        <f>Calcs_TA!AZ36</f>
        <v>110137.98445417677</v>
      </c>
      <c r="BA22" s="84">
        <f>Calcs_TA!BA36</f>
        <v>106558.86343148112</v>
      </c>
      <c r="BB22" s="84">
        <f>Calcs_TA!BB36</f>
        <v>103009.98830988111</v>
      </c>
      <c r="BC22" s="84">
        <f>Calcs_TA!BC36</f>
        <v>99371.051635762647</v>
      </c>
      <c r="BD22" s="84">
        <f>Calcs_TA!BD36</f>
        <v>95745.913037185557</v>
      </c>
      <c r="BE22" s="84">
        <f>Calcs_TA!BE36</f>
        <v>92146.202236471538</v>
      </c>
      <c r="BF22" s="84">
        <f>Calcs_TA!BF36</f>
        <v>88477.057151376124</v>
      </c>
      <c r="BG22" s="84">
        <f>Calcs_TA!BG36</f>
        <v>84780.148017622632</v>
      </c>
      <c r="BH22" s="84">
        <f>Calcs_TA!BH36</f>
        <v>81153.039635046327</v>
      </c>
      <c r="BI22" s="84">
        <f>Calcs_TA!BI36</f>
        <v>77415.353165498876</v>
      </c>
      <c r="BJ22" s="84">
        <f>Calcs_TA!BJ36</f>
        <v>73696.376513185867</v>
      </c>
      <c r="BK22" s="84">
        <f>Calcs_TA!BK36</f>
        <v>69961.505056550639</v>
      </c>
      <c r="BL22" s="84">
        <f>Calcs_TA!BL36</f>
        <v>66220.637980163607</v>
      </c>
      <c r="BM22" s="84">
        <f>Calcs_TA!BM36</f>
        <v>62463.249594935107</v>
      </c>
      <c r="BN22" s="84">
        <f>Calcs_TA!BN36</f>
        <v>58698.165809437975</v>
      </c>
      <c r="BO22" s="84">
        <f>Calcs_TA!BO36</f>
        <v>54890.829932748129</v>
      </c>
      <c r="BP22" s="84">
        <f>Calcs_TA!BP36</f>
        <v>51075.584085248571</v>
      </c>
      <c r="BQ22" s="84">
        <f>Calcs_TA!BQ36</f>
        <v>47258.585024660701</v>
      </c>
      <c r="BR22" s="84">
        <f>Calcs_TA!BR36</f>
        <v>43410.719171526573</v>
      </c>
      <c r="BS22" s="84">
        <f>Calcs_TA!BS36</f>
        <v>39540.223104343655</v>
      </c>
      <c r="BT22" s="84">
        <f>Calcs_TA!BT36</f>
        <v>35670.635439174344</v>
      </c>
      <c r="BU22" s="84">
        <f>Calcs_TA!BU36</f>
        <v>31768.161163036944</v>
      </c>
      <c r="BV22" s="84">
        <f>Calcs_TA!BV36</f>
        <v>27858.615537728423</v>
      </c>
      <c r="BW22" s="84">
        <f>Calcs_TA!BW36</f>
        <v>23931.803645165113</v>
      </c>
      <c r="BX22" s="84">
        <f>Calcs_TA!BX36</f>
        <v>19984.239767504925</v>
      </c>
      <c r="BY22" s="84">
        <f>Calcs_TA!BY36</f>
        <v>16028.345319309341</v>
      </c>
      <c r="BZ22" s="84">
        <f>Calcs_TA!BZ36</f>
        <v>12044.718787005484</v>
      </c>
      <c r="CA22" s="84">
        <f>Calcs_TA!CA36</f>
        <v>8046.3498343350793</v>
      </c>
      <c r="CB22" s="84">
        <f>Calcs_TA!CB36</f>
        <v>4033.1846208882498</v>
      </c>
      <c r="CC22" s="84">
        <f>Calcs_TA!CC36</f>
        <v>2.3101165425032377E-10</v>
      </c>
    </row>
    <row r="24" spans="2:81" x14ac:dyDescent="0.2">
      <c r="B24" s="253" t="str">
        <f>"Go to "&amp;HL_Link_outputs</f>
        <v>Go to Time Series Assumptions &amp; Calculations</v>
      </c>
      <c r="C24" s="253"/>
      <c r="D24" s="253"/>
      <c r="E24" s="253"/>
      <c r="F24" s="253"/>
      <c r="G24" s="253"/>
      <c r="H24" s="253"/>
    </row>
    <row r="26" spans="2:81" x14ac:dyDescent="0.2">
      <c r="B26" s="254" t="str">
        <f>"Go to "&amp;HL_Dashboard</f>
        <v>Go to Loan Dashboards</v>
      </c>
      <c r="C26" s="254"/>
      <c r="D26" s="254"/>
      <c r="E26" s="254"/>
      <c r="F26" s="254"/>
    </row>
    <row r="63" spans="10:24" x14ac:dyDescent="0.2"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</row>
  </sheetData>
  <mergeCells count="3">
    <mergeCell ref="B3:F3"/>
    <mergeCell ref="B24:H24"/>
    <mergeCell ref="B26:F26"/>
  </mergeCells>
  <hyperlinks>
    <hyperlink ref="B4" location="HL_Sheet_Main_6" tooltip="Go to Previous Sheet" display="HL_Sheet_Main_6"/>
    <hyperlink ref="A4" location="$J$14" tooltip="Go to Top of Sheet" display="$J$14"/>
    <hyperlink ref="C4" location="HL_Sheet_Main_4" tooltip="Go to Next Sheet" display="HL_Sheet_Main_4"/>
    <hyperlink ref="B24" location="HL_Link_outputs" tooltip="Go to Time Series Calculations &amp; Other Assumptions" display="HL_Link_outputs"/>
    <hyperlink ref="B3" location="HL_Home" tooltip="Go to Table of Contents" display="HL_Home"/>
    <hyperlink ref="D4" location="HL_Err_Chk" tooltip="Go to Error Checks" display="HL_Err_Chk"/>
    <hyperlink ref="E4" location="HL_Alt_Chk" tooltip="Go to Alert Checks" display="HL_Alt_Chk"/>
    <hyperlink ref="B26" location="HL_Dashboard" tooltip="Go to Loan Dashboards" display="HL_Dashboard"/>
  </hyperlinks>
  <pageMargins left="0.39370078740157499" right="0.39370078740157499" top="0.59055118110236204" bottom="0.98425196850393704" header="0" footer="0.31496062992126"/>
  <pageSetup paperSize="9" orientation="landscape" r:id="rId1"/>
  <headerFooter>
    <oddFooter>&amp;L&amp;F
&amp;A
Printed: &amp;T on &amp;D&amp;CPage &amp;P of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autoPageBreaks="0"/>
  </sheetPr>
  <dimension ref="A1:FX158"/>
  <sheetViews>
    <sheetView zoomScaleNormal="100" workbookViewId="0">
      <pane xSplit="1" ySplit="4" topLeftCell="B5" activePane="bottomRight" state="frozen"/>
      <selection activeCell="H12" sqref="H12:P12"/>
      <selection pane="topRight" activeCell="H12" sqref="H12:P12"/>
      <selection pane="bottomLeft" activeCell="H12" sqref="H12:P12"/>
      <selection pane="bottomRight" activeCell="B3" sqref="B3:K3"/>
    </sheetView>
  </sheetViews>
  <sheetFormatPr defaultColWidth="2.44140625" defaultRowHeight="10" x14ac:dyDescent="0.2"/>
  <cols>
    <col min="1" max="1" width="3.77734375" style="101" customWidth="1"/>
    <col min="2" max="96" width="2.44140625" style="101" customWidth="1"/>
    <col min="97" max="98" width="30.6640625" style="101" customWidth="1"/>
    <col min="99" max="143" width="11.77734375" style="101" customWidth="1"/>
    <col min="144" max="170" width="10.77734375" style="101" customWidth="1"/>
    <col min="171" max="180" width="8.33203125" style="101" customWidth="1"/>
    <col min="181" max="16384" width="2.44140625" style="101"/>
  </cols>
  <sheetData>
    <row r="1" spans="1:106" s="123" customFormat="1" ht="17.5" x14ac:dyDescent="0.2">
      <c r="B1" s="206" t="s">
        <v>224</v>
      </c>
    </row>
    <row r="2" spans="1:106" s="123" customFormat="1" ht="15" x14ac:dyDescent="0.2">
      <c r="B2" s="165" t="str">
        <f>Model_Name</f>
        <v>Precise Debt Modelling (Loan 1 - live case) (Alert in Loan 2 solution)</v>
      </c>
    </row>
    <row r="3" spans="1:106" s="123" customFormat="1" x14ac:dyDescent="0.2">
      <c r="B3" s="255" t="s">
        <v>76</v>
      </c>
      <c r="C3" s="255"/>
      <c r="D3" s="255"/>
      <c r="E3" s="255"/>
      <c r="F3" s="255"/>
      <c r="G3" s="255"/>
      <c r="H3" s="255"/>
      <c r="I3" s="255"/>
      <c r="J3" s="255"/>
      <c r="K3" s="255"/>
    </row>
    <row r="4" spans="1:106" ht="12.5" x14ac:dyDescent="0.2">
      <c r="A4" s="166" t="s">
        <v>79</v>
      </c>
      <c r="B4" s="259" t="s">
        <v>82</v>
      </c>
      <c r="C4" s="259"/>
      <c r="D4" s="260" t="s">
        <v>83</v>
      </c>
      <c r="E4" s="260"/>
      <c r="F4" s="261" t="s">
        <v>100</v>
      </c>
      <c r="G4" s="261"/>
      <c r="H4" s="262" t="s">
        <v>101</v>
      </c>
      <c r="I4" s="262"/>
      <c r="J4" s="262"/>
      <c r="K4" s="262"/>
    </row>
    <row r="5" spans="1:106" s="123" customFormat="1" x14ac:dyDescent="0.2"/>
    <row r="6" spans="1:106" s="123" customFormat="1" x14ac:dyDescent="0.2"/>
    <row r="7" spans="1:106" s="123" customFormat="1" ht="11.5" x14ac:dyDescent="0.2">
      <c r="B7" s="256" t="str">
        <f>Dashboard_P_MS!$CS$9</f>
        <v>Loan 1 - Rolling 6 month profile</v>
      </c>
      <c r="C7" s="257"/>
      <c r="D7" s="257"/>
      <c r="E7" s="257"/>
      <c r="F7" s="257"/>
      <c r="G7" s="257"/>
      <c r="H7" s="257"/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  <c r="X7" s="257"/>
      <c r="Y7" s="257"/>
      <c r="Z7" s="257"/>
      <c r="AA7" s="257"/>
      <c r="AB7" s="257"/>
      <c r="AC7" s="257"/>
      <c r="AD7" s="257"/>
      <c r="AE7" s="257"/>
      <c r="AF7" s="257"/>
      <c r="AG7" s="257"/>
      <c r="AH7" s="257"/>
      <c r="AI7" s="257"/>
      <c r="AJ7" s="257"/>
      <c r="AK7" s="258"/>
      <c r="AN7" s="256" t="str">
        <f>CS17</f>
        <v>Loan 1 - Debt &amp; Interest Profile</v>
      </c>
      <c r="AO7" s="257"/>
      <c r="AP7" s="257"/>
      <c r="AQ7" s="257"/>
      <c r="AR7" s="257"/>
      <c r="AS7" s="257"/>
      <c r="AT7" s="257"/>
      <c r="AU7" s="257"/>
      <c r="AV7" s="257"/>
      <c r="AW7" s="257"/>
      <c r="AX7" s="257"/>
      <c r="AY7" s="257"/>
      <c r="AZ7" s="257"/>
      <c r="BA7" s="257"/>
      <c r="BB7" s="257"/>
      <c r="BC7" s="257"/>
      <c r="BD7" s="257"/>
      <c r="BE7" s="257"/>
      <c r="BF7" s="257"/>
      <c r="BG7" s="257"/>
      <c r="BH7" s="257"/>
      <c r="BI7" s="257"/>
      <c r="BJ7" s="257"/>
      <c r="BK7" s="257"/>
      <c r="BL7" s="257"/>
      <c r="BM7" s="257"/>
      <c r="BN7" s="257"/>
      <c r="BO7" s="257"/>
      <c r="BP7" s="257"/>
      <c r="BQ7" s="257"/>
      <c r="BR7" s="257"/>
      <c r="BS7" s="257"/>
      <c r="BT7" s="257"/>
      <c r="BU7" s="257"/>
      <c r="BV7" s="257"/>
      <c r="BW7" s="258"/>
      <c r="CS7" s="102" t="str">
        <f>Outputs_TO!B15</f>
        <v>Chart Data</v>
      </c>
      <c r="CT7" s="102"/>
      <c r="CU7" s="103"/>
      <c r="CV7" s="103"/>
      <c r="CW7" s="103"/>
      <c r="CX7" s="103"/>
      <c r="CY7" s="103"/>
      <c r="CZ7" s="103"/>
      <c r="DA7" s="31"/>
      <c r="DB7" s="31"/>
    </row>
    <row r="8" spans="1:106" s="123" customFormat="1" x14ac:dyDescent="0.2">
      <c r="B8" s="124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124"/>
      <c r="AE8" s="124"/>
      <c r="AF8" s="124"/>
      <c r="AG8" s="124"/>
      <c r="AH8" s="124"/>
      <c r="AI8" s="124"/>
      <c r="AJ8" s="124"/>
      <c r="AK8" s="124"/>
      <c r="AN8" s="124"/>
      <c r="AO8" s="124"/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4"/>
      <c r="BR8" s="124"/>
      <c r="BS8" s="124"/>
      <c r="BT8" s="124"/>
      <c r="BU8" s="124"/>
      <c r="BV8" s="124"/>
      <c r="BW8" s="124"/>
      <c r="CS8" s="102"/>
      <c r="CT8" s="102"/>
      <c r="CU8" s="103"/>
      <c r="CV8" s="103"/>
      <c r="CW8" s="103"/>
      <c r="CX8" s="103"/>
      <c r="CY8" s="103"/>
      <c r="CZ8" s="103"/>
      <c r="DA8" s="31"/>
      <c r="DB8" s="31"/>
    </row>
    <row r="9" spans="1:106" s="123" customFormat="1" x14ac:dyDescent="0.2">
      <c r="B9" s="124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  <c r="AB9" s="124"/>
      <c r="AC9" s="124"/>
      <c r="AD9" s="124"/>
      <c r="AE9" s="124"/>
      <c r="AF9" s="124"/>
      <c r="AG9" s="124"/>
      <c r="AH9" s="124"/>
      <c r="AI9" s="124"/>
      <c r="AK9" s="124"/>
      <c r="AN9" s="124"/>
      <c r="AO9" s="124"/>
      <c r="AP9" s="124"/>
      <c r="AQ9" s="124"/>
      <c r="AR9" s="124"/>
      <c r="AS9" s="124"/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4"/>
      <c r="BE9" s="124"/>
      <c r="BF9" s="124"/>
      <c r="BG9" s="124"/>
      <c r="BH9" s="124"/>
      <c r="BI9" s="124"/>
      <c r="BJ9" s="124"/>
      <c r="BK9" s="124"/>
      <c r="BL9" s="124"/>
      <c r="BM9" s="124"/>
      <c r="BN9" s="124"/>
      <c r="BO9" s="124"/>
      <c r="BP9" s="124"/>
      <c r="BQ9" s="124"/>
      <c r="BR9" s="124"/>
      <c r="BS9" s="124"/>
      <c r="BT9" s="124"/>
      <c r="BU9" s="124"/>
      <c r="BV9" s="124"/>
      <c r="BW9" s="124"/>
      <c r="CS9" s="104" t="str">
        <f>INDEX(LU_loan_selection,DD_selection)&amp;" - Rolling 6 month profile"</f>
        <v>Loan 1 - Rolling 6 month profile</v>
      </c>
      <c r="CT9" s="104"/>
      <c r="CU9" s="105">
        <f>INDEX(month_selection,DD_Loan_Profile)</f>
        <v>42082</v>
      </c>
      <c r="CV9" s="105">
        <f>INDEX(month_selection,DD_Loan_Profile+Calcs_TA!J$10)</f>
        <v>42113</v>
      </c>
      <c r="CW9" s="105">
        <f>INDEX(month_selection,DD_Loan_Profile+Calcs_TA!K$10)</f>
        <v>42143</v>
      </c>
      <c r="CX9" s="105">
        <f>INDEX(month_selection,DD_Loan_Profile+Calcs_TA!L$10)</f>
        <v>42174</v>
      </c>
      <c r="CY9" s="105">
        <f>INDEX(month_selection,DD_Loan_Profile+Calcs_TA!M$10)</f>
        <v>42204</v>
      </c>
      <c r="CZ9" s="105">
        <f>INDEX(month_selection,DD_Loan_Profile+Calcs_TA!N$10)</f>
        <v>42235</v>
      </c>
      <c r="DA9" s="31"/>
      <c r="DB9" s="31"/>
    </row>
    <row r="10" spans="1:106" s="123" customFormat="1" x14ac:dyDescent="0.2">
      <c r="B10" s="124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4"/>
      <c r="Y10" s="124"/>
      <c r="Z10" s="124"/>
      <c r="AA10" s="124"/>
      <c r="AB10" s="124"/>
      <c r="AC10" s="124"/>
      <c r="AD10" s="124"/>
      <c r="AE10" s="124"/>
      <c r="AF10" s="124"/>
      <c r="AG10" s="124"/>
      <c r="AH10" s="124"/>
      <c r="AI10" s="124"/>
      <c r="AJ10" s="124"/>
      <c r="AK10" s="124"/>
      <c r="AN10" s="124"/>
      <c r="AO10" s="124"/>
      <c r="AP10" s="124"/>
      <c r="AQ10" s="124"/>
      <c r="AR10" s="124"/>
      <c r="AS10" s="124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4"/>
      <c r="BE10" s="124"/>
      <c r="BF10" s="124"/>
      <c r="BG10" s="124"/>
      <c r="BH10" s="124"/>
      <c r="BI10" s="124"/>
      <c r="BJ10" s="124"/>
      <c r="BK10" s="124"/>
      <c r="BL10" s="124"/>
      <c r="BM10" s="124"/>
      <c r="BN10" s="124"/>
      <c r="BO10" s="124"/>
      <c r="BP10" s="124"/>
      <c r="BQ10" s="124"/>
      <c r="BR10" s="124"/>
      <c r="BS10" s="124"/>
      <c r="BT10" s="124"/>
      <c r="BU10" s="124"/>
      <c r="BV10" s="124"/>
      <c r="BW10" s="124"/>
      <c r="CS10" s="103"/>
      <c r="CT10" s="103"/>
      <c r="CU10" s="103"/>
      <c r="CV10" s="103"/>
      <c r="CW10" s="103"/>
      <c r="CX10" s="103"/>
      <c r="CY10" s="103"/>
      <c r="CZ10" s="103"/>
      <c r="DA10" s="31"/>
      <c r="DB10" s="31"/>
    </row>
    <row r="11" spans="1:106" s="123" customFormat="1" x14ac:dyDescent="0.2"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24"/>
      <c r="AF11" s="124"/>
      <c r="AG11" s="124"/>
      <c r="AH11" s="124"/>
      <c r="AI11" s="124"/>
      <c r="AJ11" s="124"/>
      <c r="AK11" s="124"/>
      <c r="AN11" s="124"/>
      <c r="AO11" s="124"/>
      <c r="AP11" s="124"/>
      <c r="AQ11" s="124"/>
      <c r="AR11" s="124"/>
      <c r="AS11" s="124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4"/>
      <c r="BE11" s="124"/>
      <c r="BF11" s="124"/>
      <c r="BG11" s="124"/>
      <c r="BH11" s="124"/>
      <c r="BI11" s="124"/>
      <c r="BJ11" s="124"/>
      <c r="BK11" s="124"/>
      <c r="BL11" s="124"/>
      <c r="BM11" s="124"/>
      <c r="BN11" s="124"/>
      <c r="BO11" s="124"/>
      <c r="BP11" s="124"/>
      <c r="BQ11" s="124"/>
      <c r="BR11" s="124"/>
      <c r="BS11" s="124"/>
      <c r="BT11" s="124"/>
      <c r="BU11" s="124"/>
      <c r="BV11" s="124"/>
      <c r="BW11" s="124"/>
      <c r="CS11" s="103" t="str">
        <f>Outputs_TO!B17</f>
        <v>Opening loan balance</v>
      </c>
      <c r="CT11" s="103"/>
      <c r="CU11" s="106">
        <f>INDEX(Outputs_TO!$J17:$CC17,DD_Loan_Profile+Calcs_TA!G$10)</f>
        <v>247054.26183826732</v>
      </c>
      <c r="CV11" s="106">
        <f>INDEX(Outputs_TO!$J17:$CC17,DD_Loan_Profile+Calcs_TA!J$10)</f>
        <v>243989.92369088126</v>
      </c>
      <c r="CW11" s="106">
        <f>INDEX(Outputs_TO!$J17:$CC17,DD_Loan_Profile+Calcs_TA!K$10)</f>
        <v>241052.40260592016</v>
      </c>
      <c r="CX11" s="106">
        <f>INDEX(Outputs_TO!$J17:$CC17,DD_Loan_Profile+Calcs_TA!L$10)</f>
        <v>237998.46450755661</v>
      </c>
      <c r="CY11" s="106">
        <f>INDEX(Outputs_TO!$J17:$CC17,DD_Loan_Profile+Calcs_TA!M$10)</f>
        <v>234999.72230414223</v>
      </c>
      <c r="CZ11" s="106">
        <f>INDEX(Outputs_TO!$J17:$CC17,DD_Loan_Profile+Calcs_TA!N$10)</f>
        <v>231987.73634064046</v>
      </c>
      <c r="DA11" s="31"/>
      <c r="DB11" s="31"/>
    </row>
    <row r="12" spans="1:106" s="123" customFormat="1" x14ac:dyDescent="0.2"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CS12" s="103" t="str">
        <f>Outputs_TO!B18</f>
        <v>Payment</v>
      </c>
      <c r="CT12" s="103"/>
      <c r="CU12" s="106">
        <f>INDEX(Outputs_TO!$J18:$CC18,DD_Loan_Profile+Calcs_TA!G$10)</f>
        <v>4049.8477507737707</v>
      </c>
      <c r="CV12" s="106">
        <f>INDEX(Outputs_TO!$J18:$CC18,DD_Loan_Profile+Calcs_TA!J$10)</f>
        <v>4049.8477507737707</v>
      </c>
      <c r="CW12" s="106">
        <f>INDEX(Outputs_TO!$J18:$CC18,DD_Loan_Profile+Calcs_TA!K$10)</f>
        <v>4049.8477507737707</v>
      </c>
      <c r="CX12" s="106">
        <f>INDEX(Outputs_TO!$J18:$CC18,DD_Loan_Profile+Calcs_TA!L$10)</f>
        <v>4049.8477507737707</v>
      </c>
      <c r="CY12" s="106">
        <f>INDEX(Outputs_TO!$J18:$CC18,DD_Loan_Profile+Calcs_TA!M$10)</f>
        <v>4049.8477507737707</v>
      </c>
      <c r="CZ12" s="106">
        <f>INDEX(Outputs_TO!$J18:$CC18,DD_Loan_Profile+Calcs_TA!N$10)</f>
        <v>4049.8477507737707</v>
      </c>
      <c r="DA12" s="31"/>
      <c r="DB12" s="31"/>
    </row>
    <row r="13" spans="1:106" s="123" customFormat="1" x14ac:dyDescent="0.2"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N13" s="124"/>
      <c r="AO13" s="124"/>
      <c r="AP13" s="124"/>
      <c r="AQ13" s="124"/>
      <c r="AR13" s="124"/>
      <c r="AS13" s="124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4"/>
      <c r="BE13" s="124"/>
      <c r="BF13" s="124"/>
      <c r="BG13" s="124"/>
      <c r="BH13" s="124"/>
      <c r="BI13" s="124"/>
      <c r="BJ13" s="124"/>
      <c r="BK13" s="124"/>
      <c r="BL13" s="124"/>
      <c r="BM13" s="124"/>
      <c r="BN13" s="124"/>
      <c r="BO13" s="124"/>
      <c r="BP13" s="124"/>
      <c r="BQ13" s="124"/>
      <c r="BR13" s="124"/>
      <c r="BS13" s="124"/>
      <c r="BT13" s="124"/>
      <c r="BU13" s="124"/>
      <c r="BV13" s="124"/>
      <c r="BW13" s="124"/>
      <c r="CS13" s="103" t="str">
        <f>Outputs_TO!B19</f>
        <v>Interest charged</v>
      </c>
      <c r="CT13" s="103"/>
      <c r="CU13" s="106">
        <f>INDEX(Outputs_TO!$J19:$CC19,DD_Loan_Profile+Calcs_TA!G$10)</f>
        <v>985.50960338771847</v>
      </c>
      <c r="CV13" s="106">
        <f>INDEX(Outputs_TO!$J19:$CC19,DD_Loan_Profile+Calcs_TA!J$10)</f>
        <v>1112.3266658126752</v>
      </c>
      <c r="CW13" s="106">
        <f>INDEX(Outputs_TO!$J19:$CC19,DD_Loan_Profile+Calcs_TA!K$10)</f>
        <v>995.90965241021252</v>
      </c>
      <c r="CX13" s="106">
        <f>INDEX(Outputs_TO!$J19:$CC19,DD_Loan_Profile+Calcs_TA!L$10)</f>
        <v>1051.1055473594006</v>
      </c>
      <c r="CY13" s="106">
        <f>INDEX(Outputs_TO!$J19:$CC19,DD_Loan_Profile+Calcs_TA!M$10)</f>
        <v>1037.8617872719924</v>
      </c>
      <c r="CZ13" s="106">
        <f>INDEX(Outputs_TO!$J19:$CC19,DD_Loan_Profile+Calcs_TA!N$10)</f>
        <v>991.50922929150443</v>
      </c>
      <c r="DA13" s="31"/>
      <c r="DB13" s="31"/>
    </row>
    <row r="14" spans="1:106" s="123" customFormat="1" x14ac:dyDescent="0.2"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N14" s="124"/>
      <c r="AO14" s="124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4"/>
      <c r="BF14" s="124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CS14" s="103" t="str">
        <f>Outputs_TO!B20</f>
        <v>Principal repayment</v>
      </c>
      <c r="CT14" s="103"/>
      <c r="CU14" s="106">
        <f>INDEX(Outputs_TO!$J20:$CC20,DD_Loan_Profile+Calcs_TA!G$10)</f>
        <v>3064.3381473860522</v>
      </c>
      <c r="CV14" s="106">
        <f>INDEX(Outputs_TO!$J20:$CC20,DD_Loan_Profile+Calcs_TA!J$10)</f>
        <v>2937.5210849610958</v>
      </c>
      <c r="CW14" s="106">
        <f>INDEX(Outputs_TO!$J20:$CC20,DD_Loan_Profile+Calcs_TA!K$10)</f>
        <v>3053.9380983635583</v>
      </c>
      <c r="CX14" s="106">
        <f>INDEX(Outputs_TO!$J20:$CC20,DD_Loan_Profile+Calcs_TA!L$10)</f>
        <v>2998.7422034143701</v>
      </c>
      <c r="CY14" s="106">
        <f>INDEX(Outputs_TO!$J20:$CC20,DD_Loan_Profile+Calcs_TA!M$10)</f>
        <v>3011.9859635017783</v>
      </c>
      <c r="CZ14" s="106">
        <f>INDEX(Outputs_TO!$J20:$CC20,DD_Loan_Profile+Calcs_TA!N$10)</f>
        <v>3058.3385214822665</v>
      </c>
      <c r="DA14" s="31"/>
      <c r="DB14" s="31"/>
    </row>
    <row r="15" spans="1:106" s="123" customFormat="1" x14ac:dyDescent="0.2"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N15" s="124"/>
      <c r="AO15" s="124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4"/>
      <c r="BF15" s="124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</row>
    <row r="16" spans="1:106" s="123" customFormat="1" x14ac:dyDescent="0.2"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N16" s="124"/>
      <c r="AO16" s="124"/>
      <c r="AP16" s="124"/>
      <c r="AQ16" s="124"/>
      <c r="AR16" s="124"/>
      <c r="AS16" s="124"/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4"/>
      <c r="BE16" s="124"/>
      <c r="BF16" s="124"/>
      <c r="BG16" s="124"/>
      <c r="BH16" s="124"/>
      <c r="BI16" s="124"/>
      <c r="BJ16" s="124"/>
      <c r="BK16" s="124"/>
      <c r="BL16" s="124"/>
      <c r="BM16" s="124"/>
      <c r="BN16" s="124"/>
      <c r="BO16" s="124"/>
      <c r="BP16" s="124"/>
      <c r="BQ16" s="124"/>
      <c r="BR16" s="124"/>
      <c r="BS16" s="124"/>
      <c r="BT16" s="124"/>
      <c r="BU16" s="124"/>
      <c r="BV16" s="124"/>
      <c r="BW16" s="124"/>
    </row>
    <row r="17" spans="2:180" s="123" customFormat="1" x14ac:dyDescent="0.2"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N17" s="124"/>
      <c r="AO17" s="124"/>
      <c r="AP17" s="124"/>
      <c r="AQ17" s="124"/>
      <c r="AR17" s="124"/>
      <c r="AS17" s="124"/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4"/>
      <c r="BE17" s="124"/>
      <c r="BF17" s="124"/>
      <c r="BG17" s="124"/>
      <c r="BH17" s="124"/>
      <c r="BI17" s="124"/>
      <c r="BJ17" s="124"/>
      <c r="BK17" s="124"/>
      <c r="BL17" s="124"/>
      <c r="BM17" s="124"/>
      <c r="BN17" s="124"/>
      <c r="BO17" s="124"/>
      <c r="BP17" s="124"/>
      <c r="BQ17" s="124"/>
      <c r="BR17" s="124"/>
      <c r="BS17" s="124"/>
      <c r="BT17" s="124"/>
      <c r="BU17" s="124"/>
      <c r="BV17" s="124"/>
      <c r="BW17" s="124"/>
      <c r="CS17" s="104" t="str">
        <f>INDEX(LU_loan_selection,DD_selection)&amp;" - Debt &amp; Interest Profile"</f>
        <v>Loan 1 - Debt &amp; Interest Profile</v>
      </c>
      <c r="CT17" s="104"/>
      <c r="CU17" s="105">
        <f>Outputs_TO!J6</f>
        <v>42054</v>
      </c>
      <c r="CV17" s="105">
        <f>Outputs_TO!K6</f>
        <v>42082</v>
      </c>
      <c r="CW17" s="105">
        <f>Outputs_TO!L6</f>
        <v>42113</v>
      </c>
      <c r="CX17" s="105">
        <f>Outputs_TO!M6</f>
        <v>42143</v>
      </c>
      <c r="CY17" s="105">
        <f>Outputs_TO!N6</f>
        <v>42174</v>
      </c>
      <c r="CZ17" s="105">
        <f>Outputs_TO!O6</f>
        <v>42204</v>
      </c>
      <c r="DA17" s="105">
        <f>Outputs_TO!P6</f>
        <v>42235</v>
      </c>
      <c r="DB17" s="105">
        <f>Outputs_TO!Q6</f>
        <v>42266</v>
      </c>
      <c r="DC17" s="105">
        <f>Outputs_TO!R6</f>
        <v>42296</v>
      </c>
      <c r="DD17" s="105">
        <f>Outputs_TO!S6</f>
        <v>42327</v>
      </c>
      <c r="DE17" s="105">
        <f>Outputs_TO!T6</f>
        <v>42357</v>
      </c>
      <c r="DF17" s="105">
        <f>Outputs_TO!U6</f>
        <v>42388</v>
      </c>
      <c r="DG17" s="105">
        <f>Outputs_TO!V6</f>
        <v>42419</v>
      </c>
      <c r="DH17" s="105">
        <f>Outputs_TO!W6</f>
        <v>42448</v>
      </c>
      <c r="DI17" s="105">
        <f>Outputs_TO!X6</f>
        <v>42479</v>
      </c>
      <c r="DJ17" s="105">
        <f>Outputs_TO!Y6</f>
        <v>42509</v>
      </c>
      <c r="DK17" s="105">
        <f>Outputs_TO!Z6</f>
        <v>42540</v>
      </c>
      <c r="DL17" s="105">
        <f>Outputs_TO!AA6</f>
        <v>42570</v>
      </c>
      <c r="DM17" s="105">
        <f>Outputs_TO!AB6</f>
        <v>42601</v>
      </c>
      <c r="DN17" s="105">
        <f>Outputs_TO!AC6</f>
        <v>42632</v>
      </c>
      <c r="DO17" s="105">
        <f>Outputs_TO!AD6</f>
        <v>42662</v>
      </c>
      <c r="DP17" s="105">
        <f>Outputs_TO!AE6</f>
        <v>42693</v>
      </c>
      <c r="DQ17" s="105">
        <f>Outputs_TO!AF6</f>
        <v>42723</v>
      </c>
      <c r="DR17" s="105">
        <f>Outputs_TO!AG6</f>
        <v>42754</v>
      </c>
      <c r="DS17" s="105">
        <f>Outputs_TO!AH6</f>
        <v>42785</v>
      </c>
      <c r="DT17" s="105">
        <f>Outputs_TO!AI6</f>
        <v>42813</v>
      </c>
      <c r="DU17" s="105">
        <f>Outputs_TO!AJ6</f>
        <v>42844</v>
      </c>
      <c r="DV17" s="105">
        <f>Outputs_TO!AK6</f>
        <v>42874</v>
      </c>
      <c r="DW17" s="105">
        <f>Outputs_TO!AL6</f>
        <v>42905</v>
      </c>
      <c r="DX17" s="105">
        <f>Outputs_TO!AM6</f>
        <v>42935</v>
      </c>
      <c r="DY17" s="105">
        <f>Outputs_TO!AN6</f>
        <v>42966</v>
      </c>
      <c r="DZ17" s="105">
        <f>Outputs_TO!AO6</f>
        <v>42997</v>
      </c>
      <c r="EA17" s="105">
        <f>Outputs_TO!AP6</f>
        <v>43027</v>
      </c>
      <c r="EB17" s="105">
        <f>Outputs_TO!AQ6</f>
        <v>43058</v>
      </c>
      <c r="EC17" s="105">
        <f>Outputs_TO!AR6</f>
        <v>43088</v>
      </c>
      <c r="ED17" s="105">
        <f>Outputs_TO!AS6</f>
        <v>43119</v>
      </c>
      <c r="EE17" s="105">
        <f>Outputs_TO!AT6</f>
        <v>43150</v>
      </c>
      <c r="EF17" s="105">
        <f>Outputs_TO!AU6</f>
        <v>43178</v>
      </c>
      <c r="EG17" s="105">
        <f>Outputs_TO!AV6</f>
        <v>43209</v>
      </c>
      <c r="EH17" s="105">
        <f>Outputs_TO!AW6</f>
        <v>43239</v>
      </c>
      <c r="EI17" s="105">
        <f>Outputs_TO!AX6</f>
        <v>43270</v>
      </c>
      <c r="EJ17" s="105">
        <f>Outputs_TO!AY6</f>
        <v>43300</v>
      </c>
      <c r="EK17" s="105">
        <f>Outputs_TO!AZ6</f>
        <v>43331</v>
      </c>
      <c r="EL17" s="105">
        <f>Outputs_TO!BA6</f>
        <v>43362</v>
      </c>
      <c r="EM17" s="105">
        <f>Outputs_TO!BB6</f>
        <v>43392</v>
      </c>
      <c r="EN17" s="105">
        <f>Outputs_TO!BC6</f>
        <v>43423</v>
      </c>
      <c r="EO17" s="105">
        <f>Outputs_TO!BD6</f>
        <v>43453</v>
      </c>
      <c r="EP17" s="105">
        <f>Outputs_TO!BE6</f>
        <v>43484</v>
      </c>
      <c r="EQ17" s="105">
        <f>Outputs_TO!BF6</f>
        <v>43515</v>
      </c>
      <c r="ER17" s="105">
        <f>Outputs_TO!BG6</f>
        <v>43543</v>
      </c>
      <c r="ES17" s="105">
        <f>Outputs_TO!BH6</f>
        <v>43574</v>
      </c>
      <c r="ET17" s="105">
        <f>Outputs_TO!BI6</f>
        <v>43604</v>
      </c>
      <c r="EU17" s="105">
        <f>Outputs_TO!BJ6</f>
        <v>43635</v>
      </c>
      <c r="EV17" s="105">
        <f>Outputs_TO!BK6</f>
        <v>43665</v>
      </c>
      <c r="EW17" s="105">
        <f>Outputs_TO!BL6</f>
        <v>43696</v>
      </c>
      <c r="EX17" s="105">
        <f>Outputs_TO!BM6</f>
        <v>43727</v>
      </c>
      <c r="EY17" s="105">
        <f>Outputs_TO!BN6</f>
        <v>43757</v>
      </c>
      <c r="EZ17" s="105">
        <f>Outputs_TO!BO6</f>
        <v>43788</v>
      </c>
      <c r="FA17" s="105">
        <f>Outputs_TO!BP6</f>
        <v>43818</v>
      </c>
      <c r="FB17" s="105">
        <f>Outputs_TO!BQ6</f>
        <v>43849</v>
      </c>
      <c r="FC17" s="105">
        <f>Outputs_TO!BR6</f>
        <v>43880</v>
      </c>
      <c r="FD17" s="105">
        <f>Outputs_TO!BS6</f>
        <v>43909</v>
      </c>
      <c r="FE17" s="105">
        <f>Outputs_TO!BT6</f>
        <v>43940</v>
      </c>
      <c r="FF17" s="105">
        <f>Outputs_TO!BU6</f>
        <v>43970</v>
      </c>
      <c r="FG17" s="105">
        <f>Outputs_TO!BV6</f>
        <v>44001</v>
      </c>
      <c r="FH17" s="105">
        <f>Outputs_TO!BW6</f>
        <v>44031</v>
      </c>
      <c r="FI17" s="105">
        <f>Outputs_TO!BX6</f>
        <v>44062</v>
      </c>
      <c r="FJ17" s="105">
        <f>Outputs_TO!BY6</f>
        <v>44093</v>
      </c>
      <c r="FK17" s="105">
        <f>Outputs_TO!BZ6</f>
        <v>44123</v>
      </c>
      <c r="FL17" s="105">
        <f>Outputs_TO!CA6</f>
        <v>44154</v>
      </c>
      <c r="FM17" s="105">
        <f>Outputs_TO!CB6</f>
        <v>44184</v>
      </c>
      <c r="FN17" s="105">
        <f>Outputs_TO!CC6</f>
        <v>44215</v>
      </c>
      <c r="FO17" s="105"/>
      <c r="FP17" s="105"/>
      <c r="FQ17" s="105"/>
      <c r="FR17" s="105"/>
      <c r="FS17" s="105"/>
      <c r="FT17" s="105"/>
      <c r="FU17" s="105"/>
      <c r="FV17" s="105"/>
      <c r="FW17" s="105"/>
      <c r="FX17" s="105"/>
    </row>
    <row r="18" spans="2:180" s="123" customFormat="1" x14ac:dyDescent="0.2"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4"/>
      <c r="BE18" s="124"/>
      <c r="BF18" s="124"/>
      <c r="BG18" s="124"/>
      <c r="BH18" s="124"/>
      <c r="BI18" s="124"/>
      <c r="BJ18" s="124"/>
      <c r="BK18" s="124"/>
      <c r="BL18" s="124"/>
      <c r="BM18" s="124"/>
      <c r="BN18" s="124"/>
      <c r="BO18" s="124"/>
      <c r="BP18" s="124"/>
      <c r="BQ18" s="124"/>
      <c r="BR18" s="124"/>
      <c r="BS18" s="124"/>
      <c r="BT18" s="124"/>
      <c r="BU18" s="124"/>
      <c r="BV18" s="124"/>
      <c r="BW18" s="124"/>
    </row>
    <row r="19" spans="2:180" s="123" customFormat="1" x14ac:dyDescent="0.2"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N19" s="124"/>
      <c r="AO19" s="124"/>
      <c r="AP19" s="124"/>
      <c r="AQ19" s="124"/>
      <c r="AR19" s="124"/>
      <c r="AS19" s="124"/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4"/>
      <c r="BE19" s="124"/>
      <c r="BF19" s="124"/>
      <c r="BG19" s="124"/>
      <c r="BH19" s="124"/>
      <c r="BI19" s="124"/>
      <c r="BJ19" s="124"/>
      <c r="BK19" s="124"/>
      <c r="BL19" s="124"/>
      <c r="BM19" s="124"/>
      <c r="BN19" s="124"/>
      <c r="BO19" s="124"/>
      <c r="BP19" s="124"/>
      <c r="BQ19" s="124"/>
      <c r="BR19" s="124"/>
      <c r="BS19" s="124"/>
      <c r="BT19" s="124"/>
      <c r="BU19" s="124"/>
      <c r="BV19" s="124"/>
      <c r="BW19" s="124"/>
      <c r="CS19" s="103" t="str">
        <f>Outputs_TO!B22</f>
        <v>Closing loan balance</v>
      </c>
      <c r="CT19" s="103"/>
      <c r="CU19" s="109">
        <f>Outputs_TO!J22</f>
        <v>247054.26183826732</v>
      </c>
      <c r="CV19" s="109">
        <f>Outputs_TO!K22</f>
        <v>243989.92369088126</v>
      </c>
      <c r="CW19" s="109">
        <f>Outputs_TO!L22</f>
        <v>241052.40260592016</v>
      </c>
      <c r="CX19" s="109">
        <f>Outputs_TO!M22</f>
        <v>237998.46450755661</v>
      </c>
      <c r="CY19" s="109">
        <f>Outputs_TO!N22</f>
        <v>234999.72230414223</v>
      </c>
      <c r="CZ19" s="109">
        <f>Outputs_TO!O22</f>
        <v>231987.73634064046</v>
      </c>
      <c r="DA19" s="109">
        <f>Outputs_TO!P22</f>
        <v>228929.39781915818</v>
      </c>
      <c r="DB19" s="109">
        <f>Outputs_TO!Q22</f>
        <v>225955.83184004927</v>
      </c>
      <c r="DC19" s="109">
        <f>Outputs_TO!R22</f>
        <v>222807.33118834157</v>
      </c>
      <c r="DD19" s="109">
        <f>Outputs_TO!S22</f>
        <v>219741.49828106261</v>
      </c>
      <c r="DE19" s="109">
        <f>Outputs_TO!T22</f>
        <v>216693.43094984963</v>
      </c>
      <c r="DF19" s="109">
        <f>Outputs_TO!U22</f>
        <v>213538.85359324675</v>
      </c>
      <c r="DG19" s="109">
        <f>Outputs_TO!V22</f>
        <v>210432.08702601356</v>
      </c>
      <c r="DH19" s="109">
        <f>Outputs_TO!W22</f>
        <v>207311.5996157492</v>
      </c>
      <c r="DI19" s="109">
        <f>Outputs_TO!X22</f>
        <v>204118.26115873037</v>
      </c>
      <c r="DJ19" s="109">
        <f>Outputs_TO!Y22</f>
        <v>200940.80926386788</v>
      </c>
      <c r="DK19" s="109">
        <f>Outputs_TO!Z22</f>
        <v>197807.03139423131</v>
      </c>
      <c r="DL19" s="109">
        <f>Outputs_TO!AA22</f>
        <v>194574.42474850549</v>
      </c>
      <c r="DM19" s="109">
        <f>Outputs_TO!AB22</f>
        <v>191383.90295031964</v>
      </c>
      <c r="DN19" s="109">
        <f>Outputs_TO!AC22</f>
        <v>188179.29040928811</v>
      </c>
      <c r="DO19" s="109">
        <f>Outputs_TO!AD22</f>
        <v>184933.71579012665</v>
      </c>
      <c r="DP19" s="109">
        <f>Outputs_TO!AE22</f>
        <v>181753.30983742373</v>
      </c>
      <c r="DQ19" s="109">
        <f>Outputs_TO!AF22</f>
        <v>178428.48350890554</v>
      </c>
      <c r="DR19" s="109">
        <f>Outputs_TO!AG22</f>
        <v>175166.65415653275</v>
      </c>
      <c r="DS19" s="109">
        <f>Outputs_TO!AH22</f>
        <v>171915.37438525615</v>
      </c>
      <c r="DT19" s="109">
        <f>Outputs_TO!AI22</f>
        <v>168551.30412792054</v>
      </c>
      <c r="DU19" s="109">
        <f>Outputs_TO!AJ22</f>
        <v>165221.84003314556</v>
      </c>
      <c r="DV19" s="109">
        <f>Outputs_TO!AK22</f>
        <v>161878.1459000477</v>
      </c>
      <c r="DW19" s="109">
        <f>Outputs_TO!AL22</f>
        <v>158543.22300185167</v>
      </c>
      <c r="DX19" s="109">
        <f>Outputs_TO!AM22</f>
        <v>155170.98464253786</v>
      </c>
      <c r="DY19" s="109">
        <f>Outputs_TO!AN22</f>
        <v>151850.65308257667</v>
      </c>
      <c r="DZ19" s="109">
        <f>Outputs_TO!AO22</f>
        <v>148428.17734508653</v>
      </c>
      <c r="EA19" s="109">
        <f>Outputs_TO!AP22</f>
        <v>145012.70755776024</v>
      </c>
      <c r="EB19" s="109">
        <f>Outputs_TO!AQ22</f>
        <v>141623.95883541417</v>
      </c>
      <c r="EC19" s="109">
        <f>Outputs_TO!AR22</f>
        <v>138159.23144059602</v>
      </c>
      <c r="ED19" s="109">
        <f>Outputs_TO!AS22</f>
        <v>134719.55541881468</v>
      </c>
      <c r="EE19" s="109">
        <f>Outputs_TO!AT22</f>
        <v>131264.68827991799</v>
      </c>
      <c r="EF19" s="109">
        <f>Outputs_TO!AU22</f>
        <v>127738.46076513205</v>
      </c>
      <c r="EG19" s="109">
        <f>Outputs_TO!AV22</f>
        <v>124252.76205203882</v>
      </c>
      <c r="EH19" s="109">
        <f>Outputs_TO!AW22</f>
        <v>120769.37072881187</v>
      </c>
      <c r="EI19" s="109">
        <f>Outputs_TO!AX22</f>
        <v>117218.48246039166</v>
      </c>
      <c r="EJ19" s="109">
        <f>Outputs_TO!AY22</f>
        <v>113669.62329218833</v>
      </c>
      <c r="EK19" s="109">
        <f>Outputs_TO!AZ22</f>
        <v>110137.98445417677</v>
      </c>
      <c r="EL19" s="109">
        <f>Outputs_TO!BA22</f>
        <v>106558.86343148112</v>
      </c>
      <c r="EM19" s="109">
        <f>Outputs_TO!BB22</f>
        <v>103009.98830988111</v>
      </c>
      <c r="EN19" s="109">
        <f>Outputs_TO!BC22</f>
        <v>99371.051635762647</v>
      </c>
      <c r="EO19" s="109">
        <f>Outputs_TO!BD22</f>
        <v>95745.913037185557</v>
      </c>
      <c r="EP19" s="109">
        <f>Outputs_TO!BE22</f>
        <v>92146.202236471538</v>
      </c>
      <c r="EQ19" s="109">
        <f>Outputs_TO!BF22</f>
        <v>88477.057151376124</v>
      </c>
      <c r="ER19" s="109">
        <f>Outputs_TO!BG22</f>
        <v>84780.148017622632</v>
      </c>
      <c r="ES19" s="109">
        <f>Outputs_TO!BH22</f>
        <v>81153.039635046327</v>
      </c>
      <c r="ET19" s="109">
        <f>Outputs_TO!BI22</f>
        <v>77415.353165498876</v>
      </c>
      <c r="EU19" s="109">
        <f>Outputs_TO!BJ22</f>
        <v>73696.376513185867</v>
      </c>
      <c r="EV19" s="109">
        <f>Outputs_TO!BK22</f>
        <v>69961.505056550639</v>
      </c>
      <c r="EW19" s="109">
        <f>Outputs_TO!BL22</f>
        <v>66220.637980163607</v>
      </c>
      <c r="EX19" s="109">
        <f>Outputs_TO!BM22</f>
        <v>62463.249594935107</v>
      </c>
      <c r="EY19" s="109">
        <f>Outputs_TO!BN22</f>
        <v>58698.165809437975</v>
      </c>
      <c r="EZ19" s="109">
        <f>Outputs_TO!BO22</f>
        <v>54890.829932748129</v>
      </c>
      <c r="FA19" s="109">
        <f>Outputs_TO!BP22</f>
        <v>51075.584085248571</v>
      </c>
      <c r="FB19" s="109">
        <f>Outputs_TO!BQ22</f>
        <v>47258.585024660701</v>
      </c>
      <c r="FC19" s="109">
        <f>Outputs_TO!BR22</f>
        <v>43410.719171526573</v>
      </c>
      <c r="FD19" s="109">
        <f>Outputs_TO!BS22</f>
        <v>39540.223104343655</v>
      </c>
      <c r="FE19" s="109">
        <f>Outputs_TO!BT22</f>
        <v>35670.635439174344</v>
      </c>
      <c r="FF19" s="109">
        <f>Outputs_TO!BU22</f>
        <v>31768.161163036944</v>
      </c>
      <c r="FG19" s="109">
        <f>Outputs_TO!BV22</f>
        <v>27858.615537728423</v>
      </c>
      <c r="FH19" s="109">
        <f>Outputs_TO!BW22</f>
        <v>23931.803645165113</v>
      </c>
      <c r="FI19" s="109">
        <f>Outputs_TO!BX22</f>
        <v>19984.239767504925</v>
      </c>
      <c r="FJ19" s="109">
        <f>Outputs_TO!BY22</f>
        <v>16028.345319309341</v>
      </c>
      <c r="FK19" s="109">
        <f>Outputs_TO!BZ22</f>
        <v>12044.718787005484</v>
      </c>
      <c r="FL19" s="109">
        <f>Outputs_TO!CA22</f>
        <v>8046.3498343350793</v>
      </c>
      <c r="FM19" s="109">
        <f>Outputs_TO!CB22</f>
        <v>4033.1846208882498</v>
      </c>
      <c r="FN19" s="109">
        <f>Outputs_TO!CC22</f>
        <v>2.3101165425032377E-10</v>
      </c>
      <c r="FO19" s="106"/>
    </row>
    <row r="20" spans="2:180" s="123" customFormat="1" x14ac:dyDescent="0.2"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N20" s="124"/>
      <c r="AO20" s="124"/>
      <c r="AP20" s="124"/>
      <c r="AQ20" s="124"/>
      <c r="AR20" s="124"/>
      <c r="AS20" s="124"/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4"/>
      <c r="BE20" s="124"/>
      <c r="BF20" s="124"/>
      <c r="BG20" s="124"/>
      <c r="BH20" s="124"/>
      <c r="BI20" s="124"/>
      <c r="BJ20" s="124"/>
      <c r="BK20" s="124"/>
      <c r="BL20" s="124"/>
      <c r="BM20" s="124"/>
      <c r="BN20" s="124"/>
      <c r="BO20" s="124"/>
      <c r="BP20" s="124"/>
      <c r="BQ20" s="124"/>
      <c r="BR20" s="124"/>
      <c r="BS20" s="124"/>
      <c r="BT20" s="124"/>
      <c r="BU20" s="124"/>
      <c r="BV20" s="124"/>
      <c r="BW20" s="124"/>
      <c r="CS20" s="103" t="str">
        <f>Outputs_TO!B19</f>
        <v>Interest charged</v>
      </c>
      <c r="CT20" s="103"/>
      <c r="CU20" s="109">
        <f>Outputs_TO!J19</f>
        <v>1104.1095890410959</v>
      </c>
      <c r="CV20" s="109">
        <f>Outputs_TO!K19</f>
        <v>985.50960338771847</v>
      </c>
      <c r="CW20" s="109">
        <f>Outputs_TO!L19</f>
        <v>1112.3266658126752</v>
      </c>
      <c r="CX20" s="109">
        <f>Outputs_TO!M19</f>
        <v>995.90965241021252</v>
      </c>
      <c r="CY20" s="109">
        <f>Outputs_TO!N19</f>
        <v>1051.1055473594006</v>
      </c>
      <c r="CZ20" s="109">
        <f>Outputs_TO!O19</f>
        <v>1037.8617872719924</v>
      </c>
      <c r="DA20" s="109">
        <f>Outputs_TO!P19</f>
        <v>991.50922929150443</v>
      </c>
      <c r="DB20" s="109">
        <f>Outputs_TO!Q19</f>
        <v>1076.2817716648642</v>
      </c>
      <c r="DC20" s="109">
        <f>Outputs_TO!R19</f>
        <v>901.34709906605951</v>
      </c>
      <c r="DD20" s="109">
        <f>Outputs_TO!S19</f>
        <v>984.01484349481268</v>
      </c>
      <c r="DE20" s="109">
        <f>Outputs_TO!T19</f>
        <v>1001.7804195607895</v>
      </c>
      <c r="DF20" s="109">
        <f>Outputs_TO!U19</f>
        <v>895.27039417088565</v>
      </c>
      <c r="DG20" s="109">
        <f>Outputs_TO!V19</f>
        <v>943.08118354058558</v>
      </c>
      <c r="DH20" s="109">
        <f>Outputs_TO!W19</f>
        <v>929.36034050940771</v>
      </c>
      <c r="DI20" s="109">
        <f>Outputs_TO!X19</f>
        <v>856.50929375493081</v>
      </c>
      <c r="DJ20" s="109">
        <f>Outputs_TO!Y19</f>
        <v>872.39585591128593</v>
      </c>
      <c r="DK20" s="109">
        <f>Outputs_TO!Z19</f>
        <v>916.0698811371949</v>
      </c>
      <c r="DL20" s="109">
        <f>Outputs_TO!AA19</f>
        <v>817.24110504794737</v>
      </c>
      <c r="DM20" s="109">
        <f>Outputs_TO!AB19</f>
        <v>859.32595258792003</v>
      </c>
      <c r="DN20" s="109">
        <f>Outputs_TO!AC19</f>
        <v>845.23520974223356</v>
      </c>
      <c r="DO20" s="109">
        <f>Outputs_TO!AD19</f>
        <v>804.27313161229984</v>
      </c>
      <c r="DP20" s="109">
        <f>Outputs_TO!AE19</f>
        <v>869.44179807084197</v>
      </c>
      <c r="DQ20" s="109">
        <f>Outputs_TO!AF19</f>
        <v>725.021422255586</v>
      </c>
      <c r="DR20" s="109">
        <f>Outputs_TO!AG19</f>
        <v>788.01839840097455</v>
      </c>
      <c r="DS20" s="109">
        <f>Outputs_TO!AH19</f>
        <v>798.56797949717941</v>
      </c>
      <c r="DT20" s="109">
        <f>Outputs_TO!AI19</f>
        <v>685.77749343817243</v>
      </c>
      <c r="DU20" s="109">
        <f>Outputs_TO!AJ19</f>
        <v>720.38365599878375</v>
      </c>
      <c r="DV20" s="109">
        <f>Outputs_TO!AK19</f>
        <v>706.1536176759098</v>
      </c>
      <c r="DW20" s="109">
        <f>Outputs_TO!AL19</f>
        <v>714.9248525777449</v>
      </c>
      <c r="DX20" s="109">
        <f>Outputs_TO!AM19</f>
        <v>677.60939145996861</v>
      </c>
      <c r="DY20" s="109">
        <f>Outputs_TO!AN19</f>
        <v>729.51619081258889</v>
      </c>
      <c r="DZ20" s="109">
        <f>Outputs_TO!AO19</f>
        <v>627.37201328363176</v>
      </c>
      <c r="EA20" s="109">
        <f>Outputs_TO!AP19</f>
        <v>634.37796344749302</v>
      </c>
      <c r="EB20" s="109">
        <f>Outputs_TO!AQ19</f>
        <v>661.09902842770691</v>
      </c>
      <c r="EC20" s="109">
        <f>Outputs_TO!AR19</f>
        <v>585.12035595562895</v>
      </c>
      <c r="ED20" s="109">
        <f>Outputs_TO!AS19</f>
        <v>610.17172899244042</v>
      </c>
      <c r="EE20" s="109">
        <f>Outputs_TO!AT19</f>
        <v>594.98061187706639</v>
      </c>
      <c r="EF20" s="109">
        <f>Outputs_TO!AU19</f>
        <v>523.62023598783719</v>
      </c>
      <c r="EG20" s="109">
        <f>Outputs_TO!AV19</f>
        <v>564.14903768052841</v>
      </c>
      <c r="EH20" s="109">
        <f>Outputs_TO!AW19</f>
        <v>566.45642754682899</v>
      </c>
      <c r="EI20" s="109">
        <f>Outputs_TO!AX19</f>
        <v>498.95948235355701</v>
      </c>
      <c r="EJ20" s="109">
        <f>Outputs_TO!AY19</f>
        <v>500.988582570441</v>
      </c>
      <c r="EK20" s="109">
        <f>Outputs_TO!AZ19</f>
        <v>518.2089127621955</v>
      </c>
      <c r="EL20" s="109">
        <f>Outputs_TO!BA19</f>
        <v>470.72672807812535</v>
      </c>
      <c r="EM20" s="109">
        <f>Outputs_TO!BB19</f>
        <v>500.97262917375781</v>
      </c>
      <c r="EN20" s="109">
        <f>Outputs_TO!BC19</f>
        <v>410.91107665530654</v>
      </c>
      <c r="EO20" s="109">
        <f>Outputs_TO!BD19</f>
        <v>424.7091521966841</v>
      </c>
      <c r="EP20" s="109">
        <f>Outputs_TO!BE19</f>
        <v>450.13695005975455</v>
      </c>
      <c r="EQ20" s="109">
        <f>Outputs_TO!BF19</f>
        <v>380.70266567835358</v>
      </c>
      <c r="ER20" s="109">
        <f>Outputs_TO!BG19</f>
        <v>352.93861702028391</v>
      </c>
      <c r="ES20" s="109">
        <f>Outputs_TO!BH19</f>
        <v>422.73936819746081</v>
      </c>
      <c r="ET20" s="109">
        <f>Outputs_TO!BI19</f>
        <v>312.16128122631517</v>
      </c>
      <c r="EU20" s="109">
        <f>Outputs_TO!BJ19</f>
        <v>330.87109846076231</v>
      </c>
      <c r="EV20" s="109">
        <f>Outputs_TO!BK19</f>
        <v>314.97629413854776</v>
      </c>
      <c r="EW20" s="109">
        <f>Outputs_TO!BL19</f>
        <v>308.98067438673871</v>
      </c>
      <c r="EX20" s="109">
        <f>Outputs_TO!BM19</f>
        <v>292.45936554527049</v>
      </c>
      <c r="EY20" s="109">
        <f>Outputs_TO!BN19</f>
        <v>284.76396527663564</v>
      </c>
      <c r="EZ20" s="109">
        <f>Outputs_TO!BO19</f>
        <v>242.51187408392454</v>
      </c>
      <c r="FA20" s="109">
        <f>Outputs_TO!BP19</f>
        <v>234.60190327421117</v>
      </c>
      <c r="FB20" s="109">
        <f>Outputs_TO!BQ19</f>
        <v>232.84869018590032</v>
      </c>
      <c r="FC20" s="109">
        <f>Outputs_TO!BR19</f>
        <v>201.98189763964572</v>
      </c>
      <c r="FD20" s="109">
        <f>Outputs_TO!BS19</f>
        <v>179.35168359085498</v>
      </c>
      <c r="FE20" s="109">
        <f>Outputs_TO!BT19</f>
        <v>180.26008560445985</v>
      </c>
      <c r="FF20" s="109">
        <f>Outputs_TO!BU19</f>
        <v>147.37347463636962</v>
      </c>
      <c r="FG20" s="109">
        <f>Outputs_TO!BV19</f>
        <v>140.30212546524808</v>
      </c>
      <c r="FH20" s="109">
        <f>Outputs_TO!BW19</f>
        <v>123.03585821046087</v>
      </c>
      <c r="FI20" s="109">
        <f>Outputs_TO!BX19</f>
        <v>102.2838731135824</v>
      </c>
      <c r="FJ20" s="109">
        <f>Outputs_TO!BY19</f>
        <v>93.953302578187532</v>
      </c>
      <c r="FK20" s="109">
        <f>Outputs_TO!BZ19</f>
        <v>66.221218469913666</v>
      </c>
      <c r="FL20" s="109">
        <f>Outputs_TO!CA19</f>
        <v>51.478798103365897</v>
      </c>
      <c r="FM20" s="109">
        <f>Outputs_TO!CB19</f>
        <v>36.682537326941294</v>
      </c>
      <c r="FN20" s="109">
        <f>Outputs_TO!CC19</f>
        <v>16.663129885752003</v>
      </c>
    </row>
    <row r="21" spans="2:180" s="123" customFormat="1" x14ac:dyDescent="0.2"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87">
        <v>2</v>
      </c>
      <c r="AK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  <c r="AZ21" s="124"/>
      <c r="BA21" s="124"/>
      <c r="BB21" s="124"/>
      <c r="BC21" s="124"/>
      <c r="BD21" s="124"/>
      <c r="BE21" s="124"/>
      <c r="BF21" s="124"/>
      <c r="BG21" s="124"/>
      <c r="BH21" s="124"/>
      <c r="BI21" s="124"/>
      <c r="BJ21" s="124"/>
      <c r="BK21" s="124"/>
      <c r="BL21" s="124"/>
      <c r="BM21" s="124"/>
      <c r="BN21" s="124"/>
      <c r="BO21" s="124"/>
      <c r="BP21" s="124"/>
      <c r="BQ21" s="124"/>
      <c r="BR21" s="124"/>
      <c r="BS21" s="124"/>
      <c r="BT21" s="124"/>
      <c r="BU21" s="124"/>
      <c r="BV21" s="124"/>
      <c r="BW21" s="124"/>
    </row>
    <row r="22" spans="2:180" s="123" customFormat="1" x14ac:dyDescent="0.2"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87"/>
      <c r="AK22" s="124"/>
      <c r="AN22" s="124"/>
      <c r="AO22" s="124"/>
      <c r="AP22" s="124"/>
      <c r="AQ22" s="124"/>
      <c r="AR22" s="124"/>
      <c r="AS22" s="124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4"/>
      <c r="BE22" s="124"/>
      <c r="BF22" s="124"/>
      <c r="BG22" s="124"/>
      <c r="BH22" s="124"/>
      <c r="BI22" s="124"/>
      <c r="BJ22" s="124"/>
      <c r="BK22" s="124"/>
      <c r="BL22" s="124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CS22" s="104" t="str">
        <f>INDEX(LU_loan_selection,DD_selection)&amp;" - Debt &amp; Revenue Profile"</f>
        <v>Loan 1 - Debt &amp; Revenue Profile</v>
      </c>
    </row>
    <row r="23" spans="2:180" s="123" customFormat="1" x14ac:dyDescent="0.2"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N23" s="124"/>
      <c r="AO23" s="124"/>
      <c r="AP23" s="124"/>
      <c r="AQ23" s="124"/>
      <c r="AR23" s="124"/>
      <c r="AS23" s="124"/>
      <c r="AT23" s="124"/>
      <c r="AU23" s="124"/>
      <c r="AV23" s="124"/>
      <c r="AW23" s="124"/>
      <c r="AX23" s="124"/>
      <c r="AY23" s="124"/>
      <c r="AZ23" s="124"/>
      <c r="BA23" s="124"/>
      <c r="BB23" s="124"/>
      <c r="BC23" s="124"/>
      <c r="BD23" s="124"/>
      <c r="BE23" s="124"/>
      <c r="BF23" s="124"/>
      <c r="BG23" s="124"/>
      <c r="BH23" s="124"/>
      <c r="BI23" s="124"/>
      <c r="BJ23" s="124"/>
      <c r="BK23" s="124"/>
      <c r="BL23" s="124"/>
      <c r="BM23" s="124"/>
      <c r="BN23" s="124"/>
      <c r="BO23" s="124"/>
      <c r="BP23" s="124"/>
      <c r="BQ23" s="124"/>
      <c r="BR23" s="124"/>
      <c r="BS23" s="124"/>
      <c r="BT23" s="124"/>
      <c r="BU23" s="124"/>
      <c r="BV23" s="124"/>
      <c r="BW23" s="124"/>
      <c r="CS23" s="111" t="s">
        <v>227</v>
      </c>
      <c r="CT23" s="103"/>
      <c r="CU23" s="167">
        <f>CU19/Key_Assumptions_BA!$L$19</f>
        <v>0.98821704735306926</v>
      </c>
      <c r="CV23" s="167">
        <f>CV19/Key_Assumptions_BA!$L$19</f>
        <v>0.97595969476352507</v>
      </c>
      <c r="CW23" s="167">
        <f>CW19/Key_Assumptions_BA!$L$19</f>
        <v>0.96420961042368059</v>
      </c>
      <c r="CX23" s="167">
        <f>CX19/Key_Assumptions_BA!$L$19</f>
        <v>0.9519938580302264</v>
      </c>
      <c r="CY23" s="167">
        <f>CY19/Key_Assumptions_BA!$L$19</f>
        <v>0.93999888921656893</v>
      </c>
      <c r="CZ23" s="167">
        <f>CZ19/Key_Assumptions_BA!$L$19</f>
        <v>0.92795094536256184</v>
      </c>
      <c r="DA23" s="167">
        <f>DA19/Key_Assumptions_BA!$L$19</f>
        <v>0.91571759127663277</v>
      </c>
      <c r="DB23" s="167">
        <f>DB19/Key_Assumptions_BA!$L$19</f>
        <v>0.9038233273601971</v>
      </c>
      <c r="DC23" s="167">
        <f>DC19/Key_Assumptions_BA!$L$19</f>
        <v>0.89122932475336625</v>
      </c>
      <c r="DD23" s="167">
        <f>DD19/Key_Assumptions_BA!$L$19</f>
        <v>0.87896599312425039</v>
      </c>
      <c r="DE23" s="167">
        <f>DE19/Key_Assumptions_BA!$L$19</f>
        <v>0.86677372379939854</v>
      </c>
      <c r="DF23" s="167">
        <f>DF19/Key_Assumptions_BA!$L$19</f>
        <v>0.85415541437298703</v>
      </c>
      <c r="DG23" s="167">
        <f>DG19/Key_Assumptions_BA!$L$19</f>
        <v>0.84172834810405417</v>
      </c>
      <c r="DH23" s="167">
        <f>DH19/Key_Assumptions_BA!$L$19</f>
        <v>0.82924639846299686</v>
      </c>
      <c r="DI23" s="167">
        <f>DI19/Key_Assumptions_BA!$L$19</f>
        <v>0.81647304463492143</v>
      </c>
      <c r="DJ23" s="167">
        <f>DJ19/Key_Assumptions_BA!$L$19</f>
        <v>0.80376323705547148</v>
      </c>
      <c r="DK23" s="167">
        <f>DK19/Key_Assumptions_BA!$L$19</f>
        <v>0.79122812557692523</v>
      </c>
      <c r="DL23" s="167">
        <f>DL19/Key_Assumptions_BA!$L$19</f>
        <v>0.77829769899402201</v>
      </c>
      <c r="DM23" s="167">
        <f>DM19/Key_Assumptions_BA!$L$19</f>
        <v>0.76553561180127849</v>
      </c>
      <c r="DN23" s="167">
        <f>DN19/Key_Assumptions_BA!$L$19</f>
        <v>0.75271716163715241</v>
      </c>
      <c r="DO23" s="167">
        <f>DO19/Key_Assumptions_BA!$L$19</f>
        <v>0.73973486316050663</v>
      </c>
      <c r="DP23" s="167">
        <f>DP19/Key_Assumptions_BA!$L$19</f>
        <v>0.72701323934969497</v>
      </c>
      <c r="DQ23" s="167">
        <f>DQ19/Key_Assumptions_BA!$L$19</f>
        <v>0.71371393403562211</v>
      </c>
      <c r="DR23" s="167">
        <f>DR19/Key_Assumptions_BA!$L$19</f>
        <v>0.70066661662613094</v>
      </c>
      <c r="DS23" s="167">
        <f>DS19/Key_Assumptions_BA!$L$19</f>
        <v>0.68766149754102457</v>
      </c>
      <c r="DT23" s="167">
        <f>DT19/Key_Assumptions_BA!$L$19</f>
        <v>0.67420521651168219</v>
      </c>
      <c r="DU23" s="167">
        <f>DU19/Key_Assumptions_BA!$L$19</f>
        <v>0.6608873601325822</v>
      </c>
      <c r="DV23" s="167">
        <f>DV19/Key_Assumptions_BA!$L$19</f>
        <v>0.64751258360019082</v>
      </c>
      <c r="DW23" s="167">
        <f>DW19/Key_Assumptions_BA!$L$19</f>
        <v>0.63417289200740667</v>
      </c>
      <c r="DX23" s="167">
        <f>DX19/Key_Assumptions_BA!$L$19</f>
        <v>0.62068393857015147</v>
      </c>
      <c r="DY23" s="167">
        <f>DY19/Key_Assumptions_BA!$L$19</f>
        <v>0.60740261233030668</v>
      </c>
      <c r="DZ23" s="167">
        <f>DZ19/Key_Assumptions_BA!$L$19</f>
        <v>0.59371270938034615</v>
      </c>
      <c r="EA23" s="167">
        <f>EA19/Key_Assumptions_BA!$L$19</f>
        <v>0.58005083023104098</v>
      </c>
      <c r="EB23" s="167">
        <f>EB19/Key_Assumptions_BA!$L$19</f>
        <v>0.56649583534165671</v>
      </c>
      <c r="EC23" s="167">
        <f>EC19/Key_Assumptions_BA!$L$19</f>
        <v>0.5526369257623841</v>
      </c>
      <c r="ED23" s="167">
        <f>ED19/Key_Assumptions_BA!$L$19</f>
        <v>0.53887822167525867</v>
      </c>
      <c r="EE23" s="167">
        <f>EE19/Key_Assumptions_BA!$L$19</f>
        <v>0.52505875311967198</v>
      </c>
      <c r="EF23" s="167">
        <f>EF19/Key_Assumptions_BA!$L$19</f>
        <v>0.51095384306052827</v>
      </c>
      <c r="EG23" s="167">
        <f>EG19/Key_Assumptions_BA!$L$19</f>
        <v>0.49701104820815528</v>
      </c>
      <c r="EH23" s="167">
        <f>EH19/Key_Assumptions_BA!$L$19</f>
        <v>0.48307748291524749</v>
      </c>
      <c r="EI23" s="167">
        <f>EI19/Key_Assumptions_BA!$L$19</f>
        <v>0.46887392984156667</v>
      </c>
      <c r="EJ23" s="167">
        <f>EJ19/Key_Assumptions_BA!$L$19</f>
        <v>0.45467849316875336</v>
      </c>
      <c r="EK23" s="167">
        <f>EK19/Key_Assumptions_BA!$L$19</f>
        <v>0.4405519378167071</v>
      </c>
      <c r="EL23" s="167">
        <f>EL19/Key_Assumptions_BA!$L$19</f>
        <v>0.42623545372592447</v>
      </c>
      <c r="EM23" s="167">
        <f>EM19/Key_Assumptions_BA!$L$19</f>
        <v>0.41203995323952447</v>
      </c>
      <c r="EN23" s="167">
        <f>EN19/Key_Assumptions_BA!$L$19</f>
        <v>0.39748420654305061</v>
      </c>
      <c r="EO23" s="167">
        <f>EO19/Key_Assumptions_BA!$L$19</f>
        <v>0.38298365214874225</v>
      </c>
      <c r="EP23" s="167">
        <f>EP19/Key_Assumptions_BA!$L$19</f>
        <v>0.36858480894588613</v>
      </c>
      <c r="EQ23" s="167">
        <f>EQ19/Key_Assumptions_BA!$L$19</f>
        <v>0.35390822860550447</v>
      </c>
      <c r="ER23" s="167">
        <f>ER19/Key_Assumptions_BA!$L$19</f>
        <v>0.33912059207049056</v>
      </c>
      <c r="ES23" s="167">
        <f>ES19/Key_Assumptions_BA!$L$19</f>
        <v>0.32461215854018532</v>
      </c>
      <c r="ET23" s="167">
        <f>ET19/Key_Assumptions_BA!$L$19</f>
        <v>0.30966141266199548</v>
      </c>
      <c r="EU23" s="167">
        <f>EU19/Key_Assumptions_BA!$L$19</f>
        <v>0.29478550605274345</v>
      </c>
      <c r="EV23" s="167">
        <f>EV19/Key_Assumptions_BA!$L$19</f>
        <v>0.27984602022620253</v>
      </c>
      <c r="EW23" s="167">
        <f>EW19/Key_Assumptions_BA!$L$19</f>
        <v>0.26488255192065441</v>
      </c>
      <c r="EX23" s="167">
        <f>EX19/Key_Assumptions_BA!$L$19</f>
        <v>0.24985299837974043</v>
      </c>
      <c r="EY23" s="167">
        <f>EY19/Key_Assumptions_BA!$L$19</f>
        <v>0.23479266323775189</v>
      </c>
      <c r="EZ23" s="167">
        <f>EZ19/Key_Assumptions_BA!$L$19</f>
        <v>0.21956331973099252</v>
      </c>
      <c r="FA23" s="167">
        <f>FA19/Key_Assumptions_BA!$L$19</f>
        <v>0.20430233634099429</v>
      </c>
      <c r="FB23" s="167">
        <f>FB19/Key_Assumptions_BA!$L$19</f>
        <v>0.18903434009864281</v>
      </c>
      <c r="FC23" s="167">
        <f>FC19/Key_Assumptions_BA!$L$19</f>
        <v>0.17364287668610628</v>
      </c>
      <c r="FD23" s="167">
        <f>FD19/Key_Assumptions_BA!$L$19</f>
        <v>0.15816089241737463</v>
      </c>
      <c r="FE23" s="167">
        <f>FE19/Key_Assumptions_BA!$L$19</f>
        <v>0.14268254175669737</v>
      </c>
      <c r="FF23" s="167">
        <f>FF19/Key_Assumptions_BA!$L$19</f>
        <v>0.12707264465214776</v>
      </c>
      <c r="FG23" s="167">
        <f>FG19/Key_Assumptions_BA!$L$19</f>
        <v>0.1114344621509137</v>
      </c>
      <c r="FH23" s="167">
        <f>FH19/Key_Assumptions_BA!$L$19</f>
        <v>9.5727214580660455E-2</v>
      </c>
      <c r="FI23" s="167">
        <f>FI19/Key_Assumptions_BA!$L$19</f>
        <v>7.99369590700197E-2</v>
      </c>
      <c r="FJ23" s="167">
        <f>FJ19/Key_Assumptions_BA!$L$19</f>
        <v>6.4113381277237369E-2</v>
      </c>
      <c r="FK23" s="167">
        <f>FK19/Key_Assumptions_BA!$L$19</f>
        <v>4.8178875148021938E-2</v>
      </c>
      <c r="FL23" s="167">
        <f>FL19/Key_Assumptions_BA!$L$19</f>
        <v>3.2185399337340319E-2</v>
      </c>
      <c r="FM23" s="167">
        <f>FM19/Key_Assumptions_BA!$L$19</f>
        <v>1.6132738483553E-2</v>
      </c>
      <c r="FN23" s="167">
        <f>FN19/Key_Assumptions_BA!$L$19</f>
        <v>9.2404661700129507E-16</v>
      </c>
    </row>
    <row r="24" spans="2:180" s="123" customFormat="1" x14ac:dyDescent="0.2"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N24" s="124"/>
      <c r="AO24" s="124"/>
      <c r="AP24" s="124"/>
      <c r="AQ24" s="124"/>
      <c r="AR24" s="124"/>
      <c r="AS24" s="124"/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4"/>
      <c r="BE24" s="124"/>
      <c r="BF24" s="124"/>
      <c r="BG24" s="124"/>
      <c r="BH24" s="124"/>
      <c r="BI24" s="124"/>
      <c r="BJ24" s="124"/>
      <c r="BK24" s="124"/>
      <c r="BL24" s="124"/>
      <c r="BM24" s="124"/>
      <c r="BN24" s="124"/>
      <c r="BO24" s="124"/>
      <c r="BP24" s="124"/>
      <c r="BQ24" s="124"/>
      <c r="BR24" s="124"/>
      <c r="BS24" s="124"/>
      <c r="BT24" s="124"/>
      <c r="BU24" s="124"/>
      <c r="BV24" s="124"/>
      <c r="BW24" s="124"/>
      <c r="CS24" s="111" t="s">
        <v>230</v>
      </c>
      <c r="CT24" s="103"/>
      <c r="CU24" s="109">
        <f>IF(CU17=Key_Assumptions_BA!$L$21,Dashboard_P_MS!CU20,Dashboard_P_MS!CU20+Dashboard_P_MS!CT24)</f>
        <v>1104.1095890410959</v>
      </c>
      <c r="CV24" s="109">
        <f>IF(CV17=Key_Assumptions_BA!$L$21,Dashboard_P_MS!CV20,Dashboard_P_MS!CV20+Dashboard_P_MS!CU24)</f>
        <v>2089.6191924288141</v>
      </c>
      <c r="CW24" s="109">
        <f>IF(CW17=Key_Assumptions_BA!$L$21,Dashboard_P_MS!CW20,Dashboard_P_MS!CW20+Dashboard_P_MS!CV24)</f>
        <v>3201.9458582414891</v>
      </c>
      <c r="CX24" s="109">
        <f>IF(CX17=Key_Assumptions_BA!$L$21,Dashboard_P_MS!CX20,Dashboard_P_MS!CX20+Dashboard_P_MS!CW24)</f>
        <v>4197.8555106517015</v>
      </c>
      <c r="CY24" s="109">
        <f>IF(CY17=Key_Assumptions_BA!$L$21,Dashboard_P_MS!CY20,Dashboard_P_MS!CY20+Dashboard_P_MS!CX24)</f>
        <v>5248.9610580111021</v>
      </c>
      <c r="CZ24" s="109">
        <f>IF(CZ17=Key_Assumptions_BA!$L$21,Dashboard_P_MS!CZ20,Dashboard_P_MS!CZ20+Dashboard_P_MS!CY24)</f>
        <v>6286.8228452830945</v>
      </c>
      <c r="DA24" s="109">
        <f>IF(DA17=Key_Assumptions_BA!$L$21,Dashboard_P_MS!DA20,Dashboard_P_MS!DA20+Dashboard_P_MS!CZ24)</f>
        <v>7278.3320745745987</v>
      </c>
      <c r="DB24" s="109">
        <f>IF(DB17=Key_Assumptions_BA!$L$21,Dashboard_P_MS!DB20,Dashboard_P_MS!DB20+Dashboard_P_MS!DA24)</f>
        <v>8354.6138462394629</v>
      </c>
      <c r="DC24" s="109">
        <f>IF(DC17=Key_Assumptions_BA!$L$21,Dashboard_P_MS!DC20,Dashboard_P_MS!DC20+Dashboard_P_MS!DB24)</f>
        <v>9255.9609453055218</v>
      </c>
      <c r="DD24" s="109">
        <f>IF(DD17=Key_Assumptions_BA!$L$21,Dashboard_P_MS!DD20,Dashboard_P_MS!DD20+Dashboard_P_MS!DC24)</f>
        <v>10239.975788800335</v>
      </c>
      <c r="DE24" s="109">
        <f>IF(DE17=Key_Assumptions_BA!$L$21,Dashboard_P_MS!DE20,Dashboard_P_MS!DE20+Dashboard_P_MS!DD24)</f>
        <v>11241.756208361125</v>
      </c>
      <c r="DF24" s="109">
        <f>IF(DF17=Key_Assumptions_BA!$L$21,Dashboard_P_MS!DF20,Dashboard_P_MS!DF20+Dashboard_P_MS!DE24)</f>
        <v>12137.026602532011</v>
      </c>
      <c r="DG24" s="109">
        <f>IF(DG17=Key_Assumptions_BA!$L$21,Dashboard_P_MS!DG20,Dashboard_P_MS!DG20+Dashboard_P_MS!DF24)</f>
        <v>13080.107786072596</v>
      </c>
      <c r="DH24" s="109">
        <f>IF(DH17=Key_Assumptions_BA!$L$21,Dashboard_P_MS!DH20,Dashboard_P_MS!DH20+Dashboard_P_MS!DG24)</f>
        <v>14009.468126582004</v>
      </c>
      <c r="DI24" s="109">
        <f>IF(DI17=Key_Assumptions_BA!$L$21,Dashboard_P_MS!DI20,Dashboard_P_MS!DI20+Dashboard_P_MS!DH24)</f>
        <v>14865.977420336934</v>
      </c>
      <c r="DJ24" s="109">
        <f>IF(DJ17=Key_Assumptions_BA!$L$21,Dashboard_P_MS!DJ20,Dashboard_P_MS!DJ20+Dashboard_P_MS!DI24)</f>
        <v>15738.37327624822</v>
      </c>
      <c r="DK24" s="109">
        <f>IF(DK17=Key_Assumptions_BA!$L$21,Dashboard_P_MS!DK20,Dashboard_P_MS!DK20+Dashboard_P_MS!DJ24)</f>
        <v>16654.443157385416</v>
      </c>
      <c r="DL24" s="109">
        <f>IF(DL17=Key_Assumptions_BA!$L$21,Dashboard_P_MS!DL20,Dashboard_P_MS!DL20+Dashboard_P_MS!DK24)</f>
        <v>17471.684262433362</v>
      </c>
      <c r="DM24" s="109">
        <f>IF(DM17=Key_Assumptions_BA!$L$21,Dashboard_P_MS!DM20,Dashboard_P_MS!DM20+Dashboard_P_MS!DL24)</f>
        <v>18331.010215021281</v>
      </c>
      <c r="DN24" s="109">
        <f>IF(DN17=Key_Assumptions_BA!$L$21,Dashboard_P_MS!DN20,Dashboard_P_MS!DN20+Dashboard_P_MS!DM24)</f>
        <v>19176.245424763514</v>
      </c>
      <c r="DO24" s="109">
        <f>IF(DO17=Key_Assumptions_BA!$L$21,Dashboard_P_MS!DO20,Dashboard_P_MS!DO20+Dashboard_P_MS!DN24)</f>
        <v>19980.518556375813</v>
      </c>
      <c r="DP24" s="109">
        <f>IF(DP17=Key_Assumptions_BA!$L$21,Dashboard_P_MS!DP20,Dashboard_P_MS!DP20+Dashboard_P_MS!DO24)</f>
        <v>20849.960354446655</v>
      </c>
      <c r="DQ24" s="109">
        <f>IF(DQ17=Key_Assumptions_BA!$L$21,Dashboard_P_MS!DQ20,Dashboard_P_MS!DQ20+Dashboard_P_MS!DP24)</f>
        <v>21574.98177670224</v>
      </c>
      <c r="DR24" s="109">
        <f>IF(DR17=Key_Assumptions_BA!$L$21,Dashboard_P_MS!DR20,Dashboard_P_MS!DR20+Dashboard_P_MS!DQ24)</f>
        <v>22363.000175103214</v>
      </c>
      <c r="DS24" s="109">
        <f>IF(DS17=Key_Assumptions_BA!$L$21,Dashboard_P_MS!DS20,Dashboard_P_MS!DS20+Dashboard_P_MS!DR24)</f>
        <v>23161.568154600394</v>
      </c>
      <c r="DT24" s="109">
        <f>IF(DT17=Key_Assumptions_BA!$L$21,Dashboard_P_MS!DT20,Dashboard_P_MS!DT20+Dashboard_P_MS!DS24)</f>
        <v>23847.345648038568</v>
      </c>
      <c r="DU24" s="109">
        <f>IF(DU17=Key_Assumptions_BA!$L$21,Dashboard_P_MS!DU20,Dashboard_P_MS!DU20+Dashboard_P_MS!DT24)</f>
        <v>24567.729304037352</v>
      </c>
      <c r="DV24" s="109">
        <f>IF(DV17=Key_Assumptions_BA!$L$21,Dashboard_P_MS!DV20,Dashboard_P_MS!DV20+Dashboard_P_MS!DU24)</f>
        <v>25273.882921713262</v>
      </c>
      <c r="DW24" s="109">
        <f>IF(DW17=Key_Assumptions_BA!$L$21,Dashboard_P_MS!DW20,Dashboard_P_MS!DW20+Dashboard_P_MS!DV24)</f>
        <v>25988.807774291006</v>
      </c>
      <c r="DX24" s="109">
        <f>IF(DX17=Key_Assumptions_BA!$L$21,Dashboard_P_MS!DX20,Dashboard_P_MS!DX20+Dashboard_P_MS!DW24)</f>
        <v>26666.417165750976</v>
      </c>
      <c r="DY24" s="109">
        <f>IF(DY17=Key_Assumptions_BA!$L$21,Dashboard_P_MS!DY20,Dashboard_P_MS!DY20+Dashboard_P_MS!DX24)</f>
        <v>27395.933356563564</v>
      </c>
      <c r="DZ24" s="109">
        <f>IF(DZ17=Key_Assumptions_BA!$L$21,Dashboard_P_MS!DZ20,Dashboard_P_MS!DZ20+Dashboard_P_MS!DY24)</f>
        <v>28023.305369847196</v>
      </c>
      <c r="EA24" s="109">
        <f>IF(EA17=Key_Assumptions_BA!$L$21,Dashboard_P_MS!EA20,Dashboard_P_MS!EA20+Dashboard_P_MS!DZ24)</f>
        <v>28657.683333294688</v>
      </c>
      <c r="EB24" s="109">
        <f>IF(EB17=Key_Assumptions_BA!$L$21,Dashboard_P_MS!EB20,Dashboard_P_MS!EB20+Dashboard_P_MS!EA24)</f>
        <v>29318.782361722395</v>
      </c>
      <c r="EC24" s="109">
        <f>IF(EC17=Key_Assumptions_BA!$L$21,Dashboard_P_MS!EC20,Dashboard_P_MS!EC20+Dashboard_P_MS!EB24)</f>
        <v>29903.902717678026</v>
      </c>
      <c r="ED24" s="109">
        <f>IF(ED17=Key_Assumptions_BA!$L$21,Dashboard_P_MS!ED20,Dashboard_P_MS!ED20+Dashboard_P_MS!EC24)</f>
        <v>30514.074446670467</v>
      </c>
      <c r="EE24" s="109">
        <f>IF(EE17=Key_Assumptions_BA!$L$21,Dashboard_P_MS!EE20,Dashboard_P_MS!EE20+Dashboard_P_MS!ED24)</f>
        <v>31109.055058547532</v>
      </c>
      <c r="EF24" s="109">
        <f>IF(EF17=Key_Assumptions_BA!$L$21,Dashboard_P_MS!EF20,Dashboard_P_MS!EF20+Dashboard_P_MS!EE24)</f>
        <v>31632.675294535369</v>
      </c>
      <c r="EG24" s="109">
        <f>IF(EG17=Key_Assumptions_BA!$L$21,Dashboard_P_MS!EG20,Dashboard_P_MS!EG20+Dashboard_P_MS!EF24)</f>
        <v>32196.824332215896</v>
      </c>
      <c r="EH24" s="109">
        <f>IF(EH17=Key_Assumptions_BA!$L$21,Dashboard_P_MS!EH20,Dashboard_P_MS!EH20+Dashboard_P_MS!EG24)</f>
        <v>32763.280759762725</v>
      </c>
      <c r="EI24" s="109">
        <f>IF(EI17=Key_Assumptions_BA!$L$21,Dashboard_P_MS!EI20,Dashboard_P_MS!EI20+Dashboard_P_MS!EH24)</f>
        <v>33262.240242116284</v>
      </c>
      <c r="EJ24" s="109">
        <f>IF(EJ17=Key_Assumptions_BA!$L$21,Dashboard_P_MS!EJ20,Dashboard_P_MS!EJ20+Dashboard_P_MS!EI24)</f>
        <v>33763.228824686725</v>
      </c>
      <c r="EK24" s="109">
        <f>IF(EK17=Key_Assumptions_BA!$L$21,Dashboard_P_MS!EK20,Dashboard_P_MS!EK20+Dashboard_P_MS!EJ24)</f>
        <v>34281.43773744892</v>
      </c>
      <c r="EL24" s="109">
        <f>IF(EL17=Key_Assumptions_BA!$L$21,Dashboard_P_MS!EL20,Dashboard_P_MS!EL20+Dashboard_P_MS!EK24)</f>
        <v>34752.164465527043</v>
      </c>
      <c r="EM24" s="109">
        <f>IF(EM17=Key_Assumptions_BA!$L$21,Dashboard_P_MS!EM20,Dashboard_P_MS!EM20+Dashboard_P_MS!EL24)</f>
        <v>35253.137094700804</v>
      </c>
      <c r="EN24" s="109">
        <f>IF(EN17=Key_Assumptions_BA!$L$21,Dashboard_P_MS!EN20,Dashboard_P_MS!EN20+Dashboard_P_MS!EM24)</f>
        <v>35664.048171356109</v>
      </c>
      <c r="EO24" s="109">
        <f>IF(EO17=Key_Assumptions_BA!$L$21,Dashboard_P_MS!EO20,Dashboard_P_MS!EO20+Dashboard_P_MS!EN24)</f>
        <v>36088.757323552796</v>
      </c>
      <c r="EP24" s="109">
        <f>IF(EP17=Key_Assumptions_BA!$L$21,Dashboard_P_MS!EP20,Dashboard_P_MS!EP20+Dashboard_P_MS!EO24)</f>
        <v>36538.894273612554</v>
      </c>
      <c r="EQ24" s="109">
        <f>IF(EQ17=Key_Assumptions_BA!$L$21,Dashboard_P_MS!EQ20,Dashboard_P_MS!EQ20+Dashboard_P_MS!EP24)</f>
        <v>36919.59693929091</v>
      </c>
      <c r="ER24" s="109">
        <f>IF(ER17=Key_Assumptions_BA!$L$21,Dashboard_P_MS!ER20,Dashboard_P_MS!ER20+Dashboard_P_MS!EQ24)</f>
        <v>37272.535556311195</v>
      </c>
      <c r="ES24" s="109">
        <f>IF(ES17=Key_Assumptions_BA!$L$21,Dashboard_P_MS!ES20,Dashboard_P_MS!ES20+Dashboard_P_MS!ER24)</f>
        <v>37695.274924508652</v>
      </c>
      <c r="ET24" s="109">
        <f>IF(ET17=Key_Assumptions_BA!$L$21,Dashboard_P_MS!ET20,Dashboard_P_MS!ET20+Dashboard_P_MS!ES24)</f>
        <v>38007.436205734964</v>
      </c>
      <c r="EU24" s="109">
        <f>IF(EU17=Key_Assumptions_BA!$L$21,Dashboard_P_MS!EU20,Dashboard_P_MS!EU20+Dashboard_P_MS!ET24)</f>
        <v>38338.307304195725</v>
      </c>
      <c r="EV24" s="109">
        <f>IF(EV17=Key_Assumptions_BA!$L$21,Dashboard_P_MS!EV20,Dashboard_P_MS!EV20+Dashboard_P_MS!EU24)</f>
        <v>38653.283598334274</v>
      </c>
      <c r="EW24" s="109">
        <f>IF(EW17=Key_Assumptions_BA!$L$21,Dashboard_P_MS!EW20,Dashboard_P_MS!EW20+Dashboard_P_MS!EV24)</f>
        <v>38962.264272721011</v>
      </c>
      <c r="EX24" s="109">
        <f>IF(EX17=Key_Assumptions_BA!$L$21,Dashboard_P_MS!EX20,Dashboard_P_MS!EX20+Dashboard_P_MS!EW24)</f>
        <v>39254.723638266281</v>
      </c>
      <c r="EY24" s="109">
        <f>IF(EY17=Key_Assumptions_BA!$L$21,Dashboard_P_MS!EY20,Dashboard_P_MS!EY20+Dashboard_P_MS!EX24)</f>
        <v>39539.487603542919</v>
      </c>
      <c r="EZ24" s="109">
        <f>IF(EZ17=Key_Assumptions_BA!$L$21,Dashboard_P_MS!EZ20,Dashboard_P_MS!EZ20+Dashboard_P_MS!EY24)</f>
        <v>39781.999477626843</v>
      </c>
      <c r="FA24" s="109">
        <f>IF(FA17=Key_Assumptions_BA!$L$21,Dashboard_P_MS!FA20,Dashboard_P_MS!FA20+Dashboard_P_MS!EZ24)</f>
        <v>40016.601380901055</v>
      </c>
      <c r="FB24" s="109">
        <f>IF(FB17=Key_Assumptions_BA!$L$21,Dashboard_P_MS!FB20,Dashboard_P_MS!FB20+Dashboard_P_MS!FA24)</f>
        <v>40249.450071086954</v>
      </c>
      <c r="FC24" s="109">
        <f>IF(FC17=Key_Assumptions_BA!$L$21,Dashboard_P_MS!FC20,Dashboard_P_MS!FC20+Dashboard_P_MS!FB24)</f>
        <v>40451.431968726603</v>
      </c>
      <c r="FD24" s="109">
        <f>IF(FD17=Key_Assumptions_BA!$L$21,Dashboard_P_MS!FD20,Dashboard_P_MS!FD20+Dashboard_P_MS!FC24)</f>
        <v>40630.783652317456</v>
      </c>
      <c r="FE24" s="109">
        <f>IF(FE17=Key_Assumptions_BA!$L$21,Dashboard_P_MS!FE20,Dashboard_P_MS!FE20+Dashboard_P_MS!FD24)</f>
        <v>40811.043737921915</v>
      </c>
      <c r="FF24" s="109">
        <f>IF(FF17=Key_Assumptions_BA!$L$21,Dashboard_P_MS!FF20,Dashboard_P_MS!FF20+Dashboard_P_MS!FE24)</f>
        <v>40958.417212558285</v>
      </c>
      <c r="FG24" s="109">
        <f>IF(FG17=Key_Assumptions_BA!$L$21,Dashboard_P_MS!FG20,Dashboard_P_MS!FG20+Dashboard_P_MS!FF24)</f>
        <v>41098.719338023533</v>
      </c>
      <c r="FH24" s="109">
        <f>IF(FH17=Key_Assumptions_BA!$L$21,Dashboard_P_MS!FH20,Dashboard_P_MS!FH20+Dashboard_P_MS!FG24)</f>
        <v>41221.755196233993</v>
      </c>
      <c r="FI24" s="109">
        <f>IF(FI17=Key_Assumptions_BA!$L$21,Dashboard_P_MS!FI20,Dashboard_P_MS!FI20+Dashboard_P_MS!FH24)</f>
        <v>41324.039069347578</v>
      </c>
      <c r="FJ24" s="109">
        <f>IF(FJ17=Key_Assumptions_BA!$L$21,Dashboard_P_MS!FJ20,Dashboard_P_MS!FJ20+Dashboard_P_MS!FI24)</f>
        <v>41417.992371925764</v>
      </c>
      <c r="FK24" s="109">
        <f>IF(FK17=Key_Assumptions_BA!$L$21,Dashboard_P_MS!FK20,Dashboard_P_MS!FK20+Dashboard_P_MS!FJ24)</f>
        <v>41484.213590395681</v>
      </c>
      <c r="FL24" s="109">
        <f>IF(FL17=Key_Assumptions_BA!$L$21,Dashboard_P_MS!FL20,Dashboard_P_MS!FL20+Dashboard_P_MS!FK24)</f>
        <v>41535.692388499047</v>
      </c>
      <c r="FM24" s="109">
        <f>IF(FM17=Key_Assumptions_BA!$L$21,Dashboard_P_MS!FM20,Dashboard_P_MS!FM20+Dashboard_P_MS!FL24)</f>
        <v>41572.374925825985</v>
      </c>
      <c r="FN24" s="109">
        <f>IF(FN17=Key_Assumptions_BA!$L$21,Dashboard_P_MS!FN20,Dashboard_P_MS!FN20+Dashboard_P_MS!FM24)</f>
        <v>41589.038055711739</v>
      </c>
    </row>
    <row r="25" spans="2:180" s="123" customFormat="1" x14ac:dyDescent="0.2">
      <c r="CS25" s="111" t="s">
        <v>229</v>
      </c>
      <c r="CT25" s="103"/>
      <c r="CU25" s="109">
        <f>SUM(CU20:FN20)</f>
        <v>41589.038055711739</v>
      </c>
    </row>
    <row r="26" spans="2:180" s="123" customFormat="1" x14ac:dyDescent="0.2"/>
    <row r="27" spans="2:180" s="123" customFormat="1" ht="11.5" x14ac:dyDescent="0.2">
      <c r="B27" s="256" t="str">
        <f>CS22</f>
        <v>Loan 1 - Debt &amp; Revenue Profile</v>
      </c>
      <c r="C27" s="257"/>
      <c r="D27" s="257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8"/>
      <c r="AN27" s="256" t="str">
        <f>CS28</f>
        <v>Loan 1 - Debt &amp; Revenue Profile</v>
      </c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7"/>
      <c r="BG27" s="257"/>
      <c r="BH27" s="257"/>
      <c r="BI27" s="257"/>
      <c r="BJ27" s="257"/>
      <c r="BK27" s="257"/>
      <c r="BL27" s="257"/>
      <c r="BM27" s="257"/>
      <c r="BN27" s="257"/>
      <c r="BO27" s="257"/>
      <c r="BP27" s="257"/>
      <c r="BQ27" s="257"/>
      <c r="BR27" s="257"/>
      <c r="BS27" s="257"/>
      <c r="BT27" s="257"/>
      <c r="BU27" s="257"/>
      <c r="BV27" s="257"/>
      <c r="BW27" s="258"/>
    </row>
    <row r="28" spans="2:180" s="123" customFormat="1" x14ac:dyDescent="0.2"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N28" s="124"/>
      <c r="AO28" s="124"/>
      <c r="AP28" s="124"/>
      <c r="AQ28" s="124"/>
      <c r="AR28" s="124"/>
      <c r="AS28" s="124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4"/>
      <c r="BE28" s="124"/>
      <c r="BF28" s="124"/>
      <c r="BG28" s="124"/>
      <c r="BH28" s="124"/>
      <c r="BI28" s="124"/>
      <c r="BJ28" s="124"/>
      <c r="BK28" s="124"/>
      <c r="BL28" s="124"/>
      <c r="BM28" s="124"/>
      <c r="BN28" s="124"/>
      <c r="BO28" s="124"/>
      <c r="BP28" s="124"/>
      <c r="BQ28" s="124"/>
      <c r="BR28" s="124"/>
      <c r="BS28" s="124"/>
      <c r="BT28" s="124"/>
      <c r="BU28" s="124"/>
      <c r="BV28" s="124"/>
      <c r="BW28" s="124"/>
      <c r="CS28" s="104" t="str">
        <f>INDEX(LU_loan_selection,DD_selection)&amp;" - Debt &amp; Revenue Profile"</f>
        <v>Loan 1 - Debt &amp; Revenue Profile</v>
      </c>
    </row>
    <row r="29" spans="2:180" s="123" customFormat="1" x14ac:dyDescent="0.2"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N29" s="124"/>
      <c r="AO29" s="124"/>
      <c r="AP29" s="124"/>
      <c r="AQ29" s="124"/>
      <c r="AR29" s="124"/>
      <c r="AS29" s="124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4"/>
      <c r="BE29" s="124"/>
      <c r="BF29" s="124"/>
      <c r="BG29" s="124"/>
      <c r="BH29" s="124"/>
      <c r="BI29" s="124"/>
      <c r="BJ29" s="124"/>
      <c r="BK29" s="124"/>
      <c r="BL29" s="124"/>
      <c r="BM29" s="124"/>
      <c r="BN29" s="124"/>
      <c r="BO29" s="124"/>
      <c r="BP29" s="124"/>
      <c r="BQ29" s="124"/>
      <c r="BR29" s="124"/>
      <c r="BS29" s="124"/>
      <c r="BT29" s="124"/>
      <c r="BU29" s="124"/>
      <c r="BV29" s="124"/>
      <c r="BW29" s="124"/>
      <c r="CS29" s="103" t="str">
        <f>CS23</f>
        <v>Percentage of principal oustanding</v>
      </c>
      <c r="CU29" s="167">
        <f>CU23</f>
        <v>0.98821704735306926</v>
      </c>
      <c r="CV29" s="167">
        <f t="shared" ref="CV29:FG29" si="0">CV23</f>
        <v>0.97595969476352507</v>
      </c>
      <c r="CW29" s="167">
        <f t="shared" si="0"/>
        <v>0.96420961042368059</v>
      </c>
      <c r="CX29" s="167">
        <f t="shared" si="0"/>
        <v>0.9519938580302264</v>
      </c>
      <c r="CY29" s="167">
        <f t="shared" si="0"/>
        <v>0.93999888921656893</v>
      </c>
      <c r="CZ29" s="167">
        <f t="shared" si="0"/>
        <v>0.92795094536256184</v>
      </c>
      <c r="DA29" s="167">
        <f t="shared" si="0"/>
        <v>0.91571759127663277</v>
      </c>
      <c r="DB29" s="167">
        <f t="shared" si="0"/>
        <v>0.9038233273601971</v>
      </c>
      <c r="DC29" s="167">
        <f t="shared" si="0"/>
        <v>0.89122932475336625</v>
      </c>
      <c r="DD29" s="167">
        <f t="shared" si="0"/>
        <v>0.87896599312425039</v>
      </c>
      <c r="DE29" s="167">
        <f t="shared" si="0"/>
        <v>0.86677372379939854</v>
      </c>
      <c r="DF29" s="167">
        <f t="shared" si="0"/>
        <v>0.85415541437298703</v>
      </c>
      <c r="DG29" s="167">
        <f t="shared" si="0"/>
        <v>0.84172834810405417</v>
      </c>
      <c r="DH29" s="167">
        <f t="shared" si="0"/>
        <v>0.82924639846299686</v>
      </c>
      <c r="DI29" s="167">
        <f t="shared" si="0"/>
        <v>0.81647304463492143</v>
      </c>
      <c r="DJ29" s="167">
        <f t="shared" si="0"/>
        <v>0.80376323705547148</v>
      </c>
      <c r="DK29" s="167">
        <f t="shared" si="0"/>
        <v>0.79122812557692523</v>
      </c>
      <c r="DL29" s="167">
        <f t="shared" si="0"/>
        <v>0.77829769899402201</v>
      </c>
      <c r="DM29" s="167">
        <f t="shared" si="0"/>
        <v>0.76553561180127849</v>
      </c>
      <c r="DN29" s="167">
        <f t="shared" si="0"/>
        <v>0.75271716163715241</v>
      </c>
      <c r="DO29" s="167">
        <f t="shared" si="0"/>
        <v>0.73973486316050663</v>
      </c>
      <c r="DP29" s="167">
        <f t="shared" si="0"/>
        <v>0.72701323934969497</v>
      </c>
      <c r="DQ29" s="167">
        <f t="shared" si="0"/>
        <v>0.71371393403562211</v>
      </c>
      <c r="DR29" s="167">
        <f t="shared" si="0"/>
        <v>0.70066661662613094</v>
      </c>
      <c r="DS29" s="167">
        <f t="shared" si="0"/>
        <v>0.68766149754102457</v>
      </c>
      <c r="DT29" s="167">
        <f t="shared" si="0"/>
        <v>0.67420521651168219</v>
      </c>
      <c r="DU29" s="167">
        <f t="shared" si="0"/>
        <v>0.6608873601325822</v>
      </c>
      <c r="DV29" s="167">
        <f t="shared" si="0"/>
        <v>0.64751258360019082</v>
      </c>
      <c r="DW29" s="167">
        <f t="shared" si="0"/>
        <v>0.63417289200740667</v>
      </c>
      <c r="DX29" s="167">
        <f t="shared" si="0"/>
        <v>0.62068393857015147</v>
      </c>
      <c r="DY29" s="167">
        <f t="shared" si="0"/>
        <v>0.60740261233030668</v>
      </c>
      <c r="DZ29" s="167">
        <f t="shared" si="0"/>
        <v>0.59371270938034615</v>
      </c>
      <c r="EA29" s="167">
        <f t="shared" si="0"/>
        <v>0.58005083023104098</v>
      </c>
      <c r="EB29" s="167">
        <f t="shared" si="0"/>
        <v>0.56649583534165671</v>
      </c>
      <c r="EC29" s="167">
        <f t="shared" si="0"/>
        <v>0.5526369257623841</v>
      </c>
      <c r="ED29" s="167">
        <f t="shared" si="0"/>
        <v>0.53887822167525867</v>
      </c>
      <c r="EE29" s="167">
        <f t="shared" si="0"/>
        <v>0.52505875311967198</v>
      </c>
      <c r="EF29" s="167">
        <f t="shared" si="0"/>
        <v>0.51095384306052827</v>
      </c>
      <c r="EG29" s="167">
        <f t="shared" si="0"/>
        <v>0.49701104820815528</v>
      </c>
      <c r="EH29" s="167">
        <f t="shared" si="0"/>
        <v>0.48307748291524749</v>
      </c>
      <c r="EI29" s="167">
        <f t="shared" si="0"/>
        <v>0.46887392984156667</v>
      </c>
      <c r="EJ29" s="167">
        <f t="shared" si="0"/>
        <v>0.45467849316875336</v>
      </c>
      <c r="EK29" s="167">
        <f t="shared" si="0"/>
        <v>0.4405519378167071</v>
      </c>
      <c r="EL29" s="167">
        <f t="shared" si="0"/>
        <v>0.42623545372592447</v>
      </c>
      <c r="EM29" s="167">
        <f t="shared" si="0"/>
        <v>0.41203995323952447</v>
      </c>
      <c r="EN29" s="167">
        <f t="shared" si="0"/>
        <v>0.39748420654305061</v>
      </c>
      <c r="EO29" s="167">
        <f t="shared" si="0"/>
        <v>0.38298365214874225</v>
      </c>
      <c r="EP29" s="167">
        <f t="shared" si="0"/>
        <v>0.36858480894588613</v>
      </c>
      <c r="EQ29" s="167">
        <f t="shared" si="0"/>
        <v>0.35390822860550447</v>
      </c>
      <c r="ER29" s="167">
        <f t="shared" si="0"/>
        <v>0.33912059207049056</v>
      </c>
      <c r="ES29" s="167">
        <f t="shared" si="0"/>
        <v>0.32461215854018532</v>
      </c>
      <c r="ET29" s="167">
        <f t="shared" si="0"/>
        <v>0.30966141266199548</v>
      </c>
      <c r="EU29" s="167">
        <f t="shared" si="0"/>
        <v>0.29478550605274345</v>
      </c>
      <c r="EV29" s="167">
        <f t="shared" si="0"/>
        <v>0.27984602022620253</v>
      </c>
      <c r="EW29" s="167">
        <f t="shared" si="0"/>
        <v>0.26488255192065441</v>
      </c>
      <c r="EX29" s="167">
        <f t="shared" si="0"/>
        <v>0.24985299837974043</v>
      </c>
      <c r="EY29" s="167">
        <f t="shared" si="0"/>
        <v>0.23479266323775189</v>
      </c>
      <c r="EZ29" s="167">
        <f t="shared" si="0"/>
        <v>0.21956331973099252</v>
      </c>
      <c r="FA29" s="167">
        <f t="shared" si="0"/>
        <v>0.20430233634099429</v>
      </c>
      <c r="FB29" s="167">
        <f t="shared" si="0"/>
        <v>0.18903434009864281</v>
      </c>
      <c r="FC29" s="167">
        <f t="shared" si="0"/>
        <v>0.17364287668610628</v>
      </c>
      <c r="FD29" s="167">
        <f t="shared" si="0"/>
        <v>0.15816089241737463</v>
      </c>
      <c r="FE29" s="167">
        <f t="shared" si="0"/>
        <v>0.14268254175669737</v>
      </c>
      <c r="FF29" s="167">
        <f t="shared" si="0"/>
        <v>0.12707264465214776</v>
      </c>
      <c r="FG29" s="167">
        <f t="shared" si="0"/>
        <v>0.1114344621509137</v>
      </c>
      <c r="FH29" s="167">
        <f t="shared" ref="FH29:FN29" si="1">FH23</f>
        <v>9.5727214580660455E-2</v>
      </c>
      <c r="FI29" s="167">
        <f t="shared" si="1"/>
        <v>7.99369590700197E-2</v>
      </c>
      <c r="FJ29" s="167">
        <f t="shared" si="1"/>
        <v>6.4113381277237369E-2</v>
      </c>
      <c r="FK29" s="167">
        <f t="shared" si="1"/>
        <v>4.8178875148021938E-2</v>
      </c>
      <c r="FL29" s="167">
        <f t="shared" si="1"/>
        <v>3.2185399337340319E-2</v>
      </c>
      <c r="FM29" s="167">
        <f t="shared" si="1"/>
        <v>1.6132738483553E-2</v>
      </c>
      <c r="FN29" s="167">
        <f t="shared" si="1"/>
        <v>9.2404661700129507E-16</v>
      </c>
    </row>
    <row r="30" spans="2:180" s="123" customFormat="1" x14ac:dyDescent="0.2"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N30" s="124"/>
      <c r="AO30" s="124"/>
      <c r="AP30" s="124"/>
      <c r="AQ30" s="124"/>
      <c r="AR30" s="124"/>
      <c r="AS30" s="124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4"/>
      <c r="BE30" s="124"/>
      <c r="BF30" s="124"/>
      <c r="BG30" s="124"/>
      <c r="BH30" s="124"/>
      <c r="BI30" s="124"/>
      <c r="BJ30" s="124"/>
      <c r="BK30" s="124"/>
      <c r="BL30" s="124"/>
      <c r="BM30" s="124"/>
      <c r="BN30" s="124"/>
      <c r="BO30" s="124"/>
      <c r="BP30" s="124"/>
      <c r="BQ30" s="124"/>
      <c r="BR30" s="124"/>
      <c r="BS30" s="124"/>
      <c r="BT30" s="124"/>
      <c r="BU30" s="124"/>
      <c r="BV30" s="124"/>
      <c r="BW30" s="124"/>
      <c r="CS30" s="111" t="s">
        <v>228</v>
      </c>
      <c r="CT30" s="103"/>
      <c r="CU30" s="167">
        <f t="shared" ref="CU30:DZ30" si="2">CU24/$CU$25</f>
        <v>2.6548091532245962E-2</v>
      </c>
      <c r="CV30" s="167">
        <f t="shared" si="2"/>
        <v>5.0244470421018331E-2</v>
      </c>
      <c r="CW30" s="167">
        <f t="shared" si="2"/>
        <v>7.6990139900620799E-2</v>
      </c>
      <c r="CX30" s="167">
        <f t="shared" si="2"/>
        <v>0.10093658586256188</v>
      </c>
      <c r="CY30" s="167">
        <f t="shared" si="2"/>
        <v>0.12621020594368429</v>
      </c>
      <c r="CZ30" s="167">
        <f t="shared" si="2"/>
        <v>0.15116538249481529</v>
      </c>
      <c r="DA30" s="167">
        <f t="shared" si="2"/>
        <v>0.17500602117376962</v>
      </c>
      <c r="DB30" s="167">
        <f t="shared" si="2"/>
        <v>0.20088499847117913</v>
      </c>
      <c r="DC30" s="167">
        <f t="shared" si="2"/>
        <v>0.22255770698294211</v>
      </c>
      <c r="DD30" s="167">
        <f t="shared" si="2"/>
        <v>0.24621814467271627</v>
      </c>
      <c r="DE30" s="167">
        <f t="shared" si="2"/>
        <v>0.27030575204220691</v>
      </c>
      <c r="DF30" s="167">
        <f t="shared" si="2"/>
        <v>0.29183234741504538</v>
      </c>
      <c r="DG30" s="167">
        <f t="shared" si="2"/>
        <v>0.31450854353858287</v>
      </c>
      <c r="DH30" s="167">
        <f t="shared" si="2"/>
        <v>0.33685482476933548</v>
      </c>
      <c r="DI30" s="167">
        <f t="shared" si="2"/>
        <v>0.35744941733018221</v>
      </c>
      <c r="DJ30" s="167">
        <f t="shared" si="2"/>
        <v>0.37842599906171065</v>
      </c>
      <c r="DK30" s="167">
        <f t="shared" si="2"/>
        <v>0.40045271388762343</v>
      </c>
      <c r="DL30" s="167">
        <f t="shared" si="2"/>
        <v>0.42010311080118484</v>
      </c>
      <c r="DM30" s="167">
        <f t="shared" si="2"/>
        <v>0.44076542935341451</v>
      </c>
      <c r="DN30" s="167">
        <f t="shared" si="2"/>
        <v>0.46108893884670876</v>
      </c>
      <c r="DO30" s="167">
        <f t="shared" si="2"/>
        <v>0.48042752346448503</v>
      </c>
      <c r="DP30" s="167">
        <f t="shared" si="2"/>
        <v>0.50133307547331385</v>
      </c>
      <c r="DQ30" s="167">
        <f t="shared" si="2"/>
        <v>0.51876606878478126</v>
      </c>
      <c r="DR30" s="167">
        <f t="shared" si="2"/>
        <v>0.53771381163339826</v>
      </c>
      <c r="DS30" s="167">
        <f t="shared" si="2"/>
        <v>0.55691521702362246</v>
      </c>
      <c r="DT30" s="167">
        <f t="shared" si="2"/>
        <v>0.57340459801193766</v>
      </c>
      <c r="DU30" s="167">
        <f t="shared" si="2"/>
        <v>0.59072607717271497</v>
      </c>
      <c r="DV30" s="167">
        <f t="shared" si="2"/>
        <v>0.60770539794300937</v>
      </c>
      <c r="DW30" s="167">
        <f t="shared" si="2"/>
        <v>0.6248956212807083</v>
      </c>
      <c r="DX30" s="167">
        <f t="shared" si="2"/>
        <v>0.64118860191065841</v>
      </c>
      <c r="DY30" s="167">
        <f t="shared" si="2"/>
        <v>0.65872967102207536</v>
      </c>
      <c r="DZ30" s="167">
        <f t="shared" si="2"/>
        <v>0.67381470406475397</v>
      </c>
      <c r="EA30" s="167">
        <f t="shared" ref="EA30:FF30" si="3">EA24/$CU$25</f>
        <v>0.68906819376070927</v>
      </c>
      <c r="EB30" s="167">
        <f t="shared" si="3"/>
        <v>0.70496418605421007</v>
      </c>
      <c r="EC30" s="167">
        <f t="shared" si="3"/>
        <v>0.71903328655063936</v>
      </c>
      <c r="ED30" s="167">
        <f t="shared" si="3"/>
        <v>0.73370474223987825</v>
      </c>
      <c r="EE30" s="167">
        <f t="shared" si="3"/>
        <v>0.74801093059364687</v>
      </c>
      <c r="EF30" s="167">
        <f t="shared" si="3"/>
        <v>0.7606012731566657</v>
      </c>
      <c r="EG30" s="167">
        <f t="shared" si="3"/>
        <v>0.77416612255098938</v>
      </c>
      <c r="EH30" s="167">
        <f t="shared" si="3"/>
        <v>0.78778645266749792</v>
      </c>
      <c r="EI30" s="167">
        <f t="shared" si="3"/>
        <v>0.79978383240215689</v>
      </c>
      <c r="EJ30" s="167">
        <f t="shared" si="3"/>
        <v>0.81183000144072248</v>
      </c>
      <c r="EK30" s="167">
        <f t="shared" si="3"/>
        <v>0.82429022983234856</v>
      </c>
      <c r="EL30" s="167">
        <f t="shared" si="3"/>
        <v>0.8356087587064126</v>
      </c>
      <c r="EM30" s="167">
        <f t="shared" si="3"/>
        <v>0.84765454414878494</v>
      </c>
      <c r="EN30" s="167">
        <f t="shared" si="3"/>
        <v>0.85753481779456775</v>
      </c>
      <c r="EO30" s="167">
        <f t="shared" si="3"/>
        <v>0.86774686337320694</v>
      </c>
      <c r="EP30" s="167">
        <f t="shared" si="3"/>
        <v>0.87857031520339268</v>
      </c>
      <c r="EQ30" s="167">
        <f t="shared" si="3"/>
        <v>0.88772423372318088</v>
      </c>
      <c r="ER30" s="167">
        <f t="shared" si="3"/>
        <v>0.89621057131405024</v>
      </c>
      <c r="ES30" s="167">
        <f t="shared" si="3"/>
        <v>0.90637525383522721</v>
      </c>
      <c r="ET30" s="167">
        <f t="shared" si="3"/>
        <v>0.91388110864264427</v>
      </c>
      <c r="EU30" s="167">
        <f t="shared" si="3"/>
        <v>0.92183683721750409</v>
      </c>
      <c r="EV30" s="167">
        <f t="shared" si="3"/>
        <v>0.92941037844047281</v>
      </c>
      <c r="EW30" s="167">
        <f t="shared" si="3"/>
        <v>0.93683975620037274</v>
      </c>
      <c r="EX30" s="167">
        <f t="shared" si="3"/>
        <v>0.94387188243405717</v>
      </c>
      <c r="EY30" s="167">
        <f t="shared" si="3"/>
        <v>0.95071897432628072</v>
      </c>
      <c r="EZ30" s="167">
        <f t="shared" si="3"/>
        <v>0.95655012324006561</v>
      </c>
      <c r="FA30" s="167">
        <f t="shared" si="3"/>
        <v>0.962191078507171</v>
      </c>
      <c r="FB30" s="167">
        <f t="shared" si="3"/>
        <v>0.96778987812052053</v>
      </c>
      <c r="FC30" s="167">
        <f t="shared" si="3"/>
        <v>0.97264649195633657</v>
      </c>
      <c r="FD30" s="167">
        <f t="shared" si="3"/>
        <v>0.97695896687702588</v>
      </c>
      <c r="FE30" s="167">
        <f t="shared" si="3"/>
        <v>0.98129328414021888</v>
      </c>
      <c r="FF30" s="167">
        <f t="shared" si="3"/>
        <v>0.98483684950085437</v>
      </c>
      <c r="FG30" s="167">
        <f t="shared" ref="FG30:FN30" si="4">FG24/$CU$25</f>
        <v>0.98821038570232411</v>
      </c>
      <c r="FH30" s="167">
        <f t="shared" si="4"/>
        <v>0.99116875800335313</v>
      </c>
      <c r="FI30" s="167">
        <f t="shared" si="4"/>
        <v>0.99362815302414131</v>
      </c>
      <c r="FJ30" s="167">
        <f t="shared" si="4"/>
        <v>0.99588724116299965</v>
      </c>
      <c r="FK30" s="167">
        <f t="shared" si="4"/>
        <v>0.99747951695406767</v>
      </c>
      <c r="FL30" s="167">
        <f t="shared" si="4"/>
        <v>0.9987173142321486</v>
      </c>
      <c r="FM30" s="167">
        <f t="shared" si="4"/>
        <v>0.99959933841548743</v>
      </c>
      <c r="FN30" s="167">
        <f t="shared" si="4"/>
        <v>1</v>
      </c>
    </row>
    <row r="31" spans="2:180" s="123" customFormat="1" x14ac:dyDescent="0.2"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N31" s="124"/>
      <c r="AO31" s="124"/>
      <c r="AP31" s="124"/>
      <c r="AQ31" s="124"/>
      <c r="AR31" s="124"/>
      <c r="AS31" s="124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4"/>
      <c r="BE31" s="124"/>
      <c r="BF31" s="124"/>
      <c r="BG31" s="124"/>
      <c r="BH31" s="124"/>
      <c r="BI31" s="124"/>
      <c r="BJ31" s="124"/>
      <c r="BK31" s="124"/>
      <c r="BL31" s="124"/>
      <c r="BM31" s="124"/>
      <c r="BN31" s="124"/>
      <c r="BO31" s="124"/>
      <c r="BP31" s="124"/>
      <c r="BQ31" s="124"/>
      <c r="BR31" s="124"/>
      <c r="BS31" s="124"/>
      <c r="BT31" s="124"/>
      <c r="BU31" s="124"/>
      <c r="BV31" s="124"/>
      <c r="BW31" s="124"/>
    </row>
    <row r="32" spans="2:180" s="123" customFormat="1" x14ac:dyDescent="0.2"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N32" s="124"/>
      <c r="AO32" s="124"/>
      <c r="AP32" s="124"/>
      <c r="AQ32" s="124"/>
      <c r="AR32" s="124"/>
      <c r="AS32" s="124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4"/>
      <c r="BE32" s="124"/>
      <c r="BF32" s="124"/>
      <c r="BG32" s="124"/>
      <c r="BH32" s="124"/>
      <c r="BI32" s="124"/>
      <c r="BJ32" s="124"/>
      <c r="BK32" s="124"/>
      <c r="BL32" s="124"/>
      <c r="BM32" s="124"/>
      <c r="BN32" s="124"/>
      <c r="BO32" s="124"/>
      <c r="BP32" s="124"/>
      <c r="BQ32" s="124"/>
      <c r="BR32" s="124"/>
      <c r="BS32" s="124"/>
      <c r="BT32" s="124"/>
      <c r="BU32" s="124"/>
      <c r="BV32" s="124"/>
      <c r="BW32" s="124"/>
    </row>
    <row r="33" spans="2:75" s="123" customFormat="1" x14ac:dyDescent="0.2"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124"/>
      <c r="BP33" s="124"/>
      <c r="BQ33" s="124"/>
      <c r="BR33" s="124"/>
      <c r="BS33" s="124"/>
      <c r="BT33" s="124"/>
      <c r="BU33" s="124"/>
      <c r="BV33" s="124"/>
      <c r="BW33" s="124"/>
    </row>
    <row r="34" spans="2:75" s="123" customFormat="1" x14ac:dyDescent="0.2"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N34" s="124"/>
      <c r="AO34" s="124"/>
      <c r="AP34" s="124"/>
      <c r="AQ34" s="124"/>
      <c r="AR34" s="124"/>
      <c r="AS34" s="124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4"/>
      <c r="BE34" s="124"/>
      <c r="BF34" s="124"/>
      <c r="BG34" s="124"/>
      <c r="BH34" s="124"/>
      <c r="BI34" s="124"/>
      <c r="BJ34" s="124"/>
      <c r="BK34" s="124"/>
      <c r="BL34" s="124"/>
      <c r="BM34" s="124"/>
      <c r="BN34" s="124"/>
      <c r="BO34" s="124"/>
      <c r="BP34" s="124"/>
      <c r="BQ34" s="124"/>
      <c r="BR34" s="124"/>
      <c r="BS34" s="124"/>
      <c r="BT34" s="124"/>
      <c r="BU34" s="124"/>
      <c r="BV34" s="124"/>
      <c r="BW34" s="124"/>
    </row>
    <row r="35" spans="2:75" s="123" customFormat="1" x14ac:dyDescent="0.2"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N35" s="124"/>
      <c r="AO35" s="124"/>
      <c r="AP35" s="124"/>
      <c r="AQ35" s="124"/>
      <c r="AR35" s="124"/>
      <c r="AS35" s="124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4"/>
      <c r="BE35" s="124"/>
      <c r="BF35" s="124"/>
      <c r="BG35" s="124"/>
      <c r="BH35" s="124"/>
      <c r="BI35" s="124"/>
      <c r="BJ35" s="124"/>
      <c r="BK35" s="124"/>
      <c r="BL35" s="124"/>
      <c r="BM35" s="124"/>
      <c r="BN35" s="124"/>
      <c r="BO35" s="124"/>
      <c r="BP35" s="124"/>
      <c r="BQ35" s="124"/>
      <c r="BR35" s="124"/>
      <c r="BS35" s="124"/>
      <c r="BT35" s="124"/>
      <c r="BU35" s="124"/>
      <c r="BV35" s="124"/>
      <c r="BW35" s="124"/>
    </row>
    <row r="36" spans="2:75" s="123" customFormat="1" x14ac:dyDescent="0.2"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4"/>
      <c r="BE36" s="124"/>
      <c r="BF36" s="124"/>
      <c r="BG36" s="124"/>
      <c r="BH36" s="124"/>
      <c r="BI36" s="124"/>
      <c r="BJ36" s="124"/>
      <c r="BK36" s="124"/>
      <c r="BL36" s="124"/>
      <c r="BM36" s="124"/>
      <c r="BN36" s="124"/>
      <c r="BO36" s="124"/>
      <c r="BP36" s="124"/>
      <c r="BQ36" s="124"/>
      <c r="BR36" s="124"/>
      <c r="BS36" s="124"/>
      <c r="BT36" s="124"/>
      <c r="BU36" s="124"/>
      <c r="BV36" s="124"/>
      <c r="BW36" s="124"/>
    </row>
    <row r="37" spans="2:75" s="123" customFormat="1" x14ac:dyDescent="0.2">
      <c r="B37" s="124"/>
      <c r="C37" s="124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124"/>
      <c r="BW37" s="124"/>
    </row>
    <row r="38" spans="2:75" s="123" customFormat="1" x14ac:dyDescent="0.2">
      <c r="B38" s="124"/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4"/>
      <c r="BE38" s="124"/>
      <c r="BF38" s="124"/>
      <c r="BG38" s="124"/>
      <c r="BH38" s="124"/>
      <c r="BI38" s="124"/>
      <c r="BJ38" s="124"/>
      <c r="BK38" s="124"/>
      <c r="BL38" s="124"/>
      <c r="BM38" s="124"/>
      <c r="BN38" s="124"/>
      <c r="BO38" s="124"/>
      <c r="BP38" s="124"/>
      <c r="BQ38" s="124"/>
      <c r="BR38" s="124"/>
      <c r="BS38" s="124"/>
      <c r="BT38" s="124"/>
      <c r="BU38" s="124"/>
      <c r="BV38" s="124"/>
      <c r="BW38" s="124"/>
    </row>
    <row r="39" spans="2:75" s="123" customFormat="1" x14ac:dyDescent="0.2">
      <c r="B39" s="124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N39" s="124"/>
      <c r="AO39" s="124"/>
      <c r="AP39" s="124"/>
      <c r="AQ39" s="124"/>
      <c r="AR39" s="124"/>
      <c r="AS39" s="124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4"/>
      <c r="BE39" s="124"/>
      <c r="BF39" s="124"/>
      <c r="BG39" s="124"/>
      <c r="BH39" s="124"/>
      <c r="BI39" s="124"/>
      <c r="BJ39" s="124"/>
      <c r="BK39" s="124"/>
      <c r="BL39" s="124"/>
      <c r="BM39" s="124"/>
      <c r="BN39" s="124"/>
      <c r="BO39" s="124"/>
      <c r="BP39" s="124"/>
      <c r="BQ39" s="124"/>
      <c r="BR39" s="124"/>
      <c r="BS39" s="124"/>
      <c r="BT39" s="124"/>
      <c r="BU39" s="124"/>
      <c r="BV39" s="124"/>
      <c r="BW39" s="124"/>
    </row>
    <row r="40" spans="2:75" s="123" customFormat="1" x14ac:dyDescent="0.2">
      <c r="B40" s="124"/>
      <c r="C40" s="124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4"/>
      <c r="BE40" s="124"/>
      <c r="BF40" s="124"/>
      <c r="BG40" s="124"/>
      <c r="BH40" s="124"/>
      <c r="BI40" s="124"/>
      <c r="BJ40" s="124"/>
      <c r="BK40" s="124"/>
      <c r="BL40" s="124"/>
      <c r="BM40" s="124"/>
      <c r="BN40" s="124"/>
      <c r="BO40" s="124"/>
      <c r="BP40" s="124"/>
      <c r="BQ40" s="124"/>
      <c r="BR40" s="124"/>
      <c r="BS40" s="124"/>
      <c r="BT40" s="124"/>
      <c r="BU40" s="124"/>
      <c r="BV40" s="124"/>
      <c r="BW40" s="124"/>
    </row>
    <row r="41" spans="2:75" s="123" customFormat="1" x14ac:dyDescent="0.2"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124"/>
    </row>
    <row r="42" spans="2:75" s="123" customFormat="1" x14ac:dyDescent="0.2">
      <c r="B42" s="124"/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N42" s="124"/>
      <c r="AO42" s="124"/>
      <c r="AP42" s="124"/>
      <c r="AQ42" s="124"/>
      <c r="AR42" s="124"/>
      <c r="AS42" s="124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4"/>
      <c r="BE42" s="124"/>
      <c r="BF42" s="124"/>
      <c r="BG42" s="124"/>
      <c r="BH42" s="124"/>
      <c r="BI42" s="124"/>
      <c r="BJ42" s="124"/>
      <c r="BK42" s="124"/>
      <c r="BL42" s="124"/>
      <c r="BM42" s="124"/>
      <c r="BN42" s="124"/>
      <c r="BO42" s="124"/>
      <c r="BP42" s="124"/>
      <c r="BQ42" s="124"/>
      <c r="BR42" s="124"/>
      <c r="BS42" s="124"/>
      <c r="BT42" s="124"/>
      <c r="BU42" s="124"/>
      <c r="BV42" s="124"/>
      <c r="BW42" s="124"/>
    </row>
    <row r="43" spans="2:75" s="123" customFormat="1" x14ac:dyDescent="0.2">
      <c r="B43" s="124"/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4"/>
      <c r="BE43" s="124"/>
      <c r="BF43" s="124"/>
      <c r="BG43" s="124"/>
      <c r="BH43" s="124"/>
      <c r="BI43" s="124"/>
      <c r="BJ43" s="124"/>
      <c r="BK43" s="124"/>
      <c r="BL43" s="124"/>
      <c r="BM43" s="124"/>
      <c r="BN43" s="124"/>
      <c r="BO43" s="124"/>
      <c r="BP43" s="124"/>
      <c r="BQ43" s="124"/>
      <c r="BR43" s="124"/>
      <c r="BS43" s="124"/>
      <c r="BT43" s="124"/>
      <c r="BU43" s="124"/>
      <c r="BV43" s="124"/>
      <c r="BW43" s="124"/>
    </row>
    <row r="44" spans="2:75" s="123" customFormat="1" x14ac:dyDescent="0.2"/>
    <row r="45" spans="2:75" s="123" customFormat="1" x14ac:dyDescent="0.2"/>
    <row r="46" spans="2:75" s="123" customFormat="1" x14ac:dyDescent="0.2"/>
    <row r="47" spans="2:75" s="123" customFormat="1" x14ac:dyDescent="0.2"/>
    <row r="48" spans="2:75" s="123" customFormat="1" x14ac:dyDescent="0.2"/>
    <row r="49" s="123" customFormat="1" x14ac:dyDescent="0.2"/>
    <row r="50" s="123" customFormat="1" x14ac:dyDescent="0.2"/>
    <row r="51" s="123" customFormat="1" x14ac:dyDescent="0.2"/>
    <row r="52" s="123" customFormat="1" x14ac:dyDescent="0.2"/>
    <row r="53" s="123" customFormat="1" x14ac:dyDescent="0.2"/>
    <row r="54" s="123" customFormat="1" x14ac:dyDescent="0.2"/>
    <row r="55" s="123" customFormat="1" x14ac:dyDescent="0.2"/>
    <row r="56" s="123" customFormat="1" x14ac:dyDescent="0.2"/>
    <row r="57" s="123" customFormat="1" x14ac:dyDescent="0.2"/>
    <row r="58" s="123" customFormat="1" x14ac:dyDescent="0.2"/>
    <row r="59" s="123" customFormat="1" x14ac:dyDescent="0.2"/>
    <row r="60" s="123" customFormat="1" x14ac:dyDescent="0.2"/>
    <row r="61" s="123" customFormat="1" x14ac:dyDescent="0.2"/>
    <row r="62" s="123" customFormat="1" x14ac:dyDescent="0.2"/>
    <row r="63" s="123" customFormat="1" x14ac:dyDescent="0.2"/>
    <row r="64" s="123" customFormat="1" x14ac:dyDescent="0.2"/>
    <row r="65" s="123" customFormat="1" x14ac:dyDescent="0.2"/>
    <row r="66" s="123" customFormat="1" x14ac:dyDescent="0.2"/>
    <row r="67" s="123" customFormat="1" x14ac:dyDescent="0.2"/>
    <row r="68" s="123" customFormat="1" x14ac:dyDescent="0.2"/>
    <row r="69" s="123" customFormat="1" x14ac:dyDescent="0.2"/>
    <row r="70" s="123" customFormat="1" x14ac:dyDescent="0.2"/>
    <row r="71" s="123" customFormat="1" x14ac:dyDescent="0.2"/>
    <row r="72" s="123" customFormat="1" x14ac:dyDescent="0.2"/>
    <row r="73" s="123" customFormat="1" x14ac:dyDescent="0.2"/>
    <row r="74" s="123" customFormat="1" x14ac:dyDescent="0.2"/>
    <row r="75" s="123" customFormat="1" x14ac:dyDescent="0.2"/>
    <row r="76" s="123" customFormat="1" x14ac:dyDescent="0.2"/>
    <row r="77" s="123" customFormat="1" x14ac:dyDescent="0.2"/>
    <row r="78" s="123" customFormat="1" x14ac:dyDescent="0.2"/>
    <row r="79" s="123" customFormat="1" x14ac:dyDescent="0.2"/>
    <row r="80" s="123" customFormat="1" x14ac:dyDescent="0.2"/>
    <row r="81" s="123" customFormat="1" x14ac:dyDescent="0.2"/>
    <row r="82" s="123" customFormat="1" x14ac:dyDescent="0.2"/>
    <row r="83" s="123" customFormat="1" x14ac:dyDescent="0.2"/>
    <row r="84" s="123" customFormat="1" x14ac:dyDescent="0.2"/>
    <row r="85" s="123" customFormat="1" x14ac:dyDescent="0.2"/>
    <row r="86" s="123" customFormat="1" x14ac:dyDescent="0.2"/>
    <row r="87" s="123" customFormat="1" x14ac:dyDescent="0.2"/>
    <row r="88" s="123" customFormat="1" x14ac:dyDescent="0.2"/>
    <row r="89" s="123" customFormat="1" x14ac:dyDescent="0.2"/>
    <row r="90" s="123" customFormat="1" x14ac:dyDescent="0.2"/>
    <row r="91" s="123" customFormat="1" x14ac:dyDescent="0.2"/>
    <row r="92" s="123" customFormat="1" x14ac:dyDescent="0.2"/>
    <row r="93" s="123" customFormat="1" x14ac:dyDescent="0.2"/>
    <row r="94" s="123" customFormat="1" x14ac:dyDescent="0.2"/>
    <row r="95" s="123" customFormat="1" x14ac:dyDescent="0.2"/>
    <row r="96" s="123" customFormat="1" x14ac:dyDescent="0.2"/>
    <row r="97" s="123" customFormat="1" x14ac:dyDescent="0.2"/>
    <row r="98" s="123" customFormat="1" x14ac:dyDescent="0.2"/>
    <row r="99" s="123" customFormat="1" x14ac:dyDescent="0.2"/>
    <row r="100" s="123" customFormat="1" x14ac:dyDescent="0.2"/>
    <row r="101" s="123" customFormat="1" x14ac:dyDescent="0.2"/>
    <row r="102" s="123" customFormat="1" x14ac:dyDescent="0.2"/>
    <row r="103" s="123" customFormat="1" x14ac:dyDescent="0.2"/>
    <row r="104" s="123" customFormat="1" x14ac:dyDescent="0.2"/>
    <row r="105" s="123" customFormat="1" x14ac:dyDescent="0.2"/>
    <row r="106" s="123" customFormat="1" x14ac:dyDescent="0.2"/>
    <row r="107" s="123" customFormat="1" x14ac:dyDescent="0.2"/>
    <row r="108" s="123" customFormat="1" x14ac:dyDescent="0.2"/>
    <row r="109" s="123" customFormat="1" x14ac:dyDescent="0.2"/>
    <row r="110" s="123" customFormat="1" x14ac:dyDescent="0.2"/>
    <row r="111" s="123" customFormat="1" x14ac:dyDescent="0.2"/>
    <row r="112" s="123" customFormat="1" x14ac:dyDescent="0.2"/>
    <row r="113" s="123" customFormat="1" x14ac:dyDescent="0.2"/>
    <row r="114" s="123" customFormat="1" x14ac:dyDescent="0.2"/>
    <row r="115" s="123" customFormat="1" x14ac:dyDescent="0.2"/>
    <row r="116" s="123" customFormat="1" x14ac:dyDescent="0.2"/>
    <row r="117" s="123" customFormat="1" x14ac:dyDescent="0.2"/>
    <row r="118" s="123" customFormat="1" x14ac:dyDescent="0.2"/>
    <row r="119" s="123" customFormat="1" x14ac:dyDescent="0.2"/>
    <row r="120" s="123" customFormat="1" x14ac:dyDescent="0.2"/>
    <row r="121" s="123" customFormat="1" x14ac:dyDescent="0.2"/>
    <row r="122" s="123" customFormat="1" x14ac:dyDescent="0.2"/>
    <row r="123" s="123" customFormat="1" x14ac:dyDescent="0.2"/>
    <row r="124" s="123" customFormat="1" x14ac:dyDescent="0.2"/>
    <row r="125" s="123" customFormat="1" x14ac:dyDescent="0.2"/>
    <row r="126" s="123" customFormat="1" x14ac:dyDescent="0.2"/>
    <row r="127" s="123" customFormat="1" x14ac:dyDescent="0.2"/>
    <row r="128" s="123" customFormat="1" x14ac:dyDescent="0.2"/>
    <row r="129" s="123" customFormat="1" x14ac:dyDescent="0.2"/>
    <row r="130" s="123" customFormat="1" x14ac:dyDescent="0.2"/>
    <row r="131" s="123" customFormat="1" x14ac:dyDescent="0.2"/>
    <row r="132" s="123" customFormat="1" x14ac:dyDescent="0.2"/>
    <row r="133" s="123" customFormat="1" x14ac:dyDescent="0.2"/>
    <row r="134" s="123" customFormat="1" x14ac:dyDescent="0.2"/>
    <row r="135" s="123" customFormat="1" x14ac:dyDescent="0.2"/>
    <row r="136" s="123" customFormat="1" x14ac:dyDescent="0.2"/>
    <row r="137" s="123" customFormat="1" x14ac:dyDescent="0.2"/>
    <row r="138" s="123" customFormat="1" x14ac:dyDescent="0.2"/>
    <row r="139" s="123" customFormat="1" x14ac:dyDescent="0.2"/>
    <row r="140" s="123" customFormat="1" x14ac:dyDescent="0.2"/>
    <row r="141" s="123" customFormat="1" x14ac:dyDescent="0.2"/>
    <row r="142" s="123" customFormat="1" x14ac:dyDescent="0.2"/>
    <row r="143" s="123" customFormat="1" x14ac:dyDescent="0.2"/>
    <row r="144" s="123" customFormat="1" x14ac:dyDescent="0.2"/>
    <row r="145" s="123" customFormat="1" x14ac:dyDescent="0.2"/>
    <row r="146" s="123" customFormat="1" x14ac:dyDescent="0.2"/>
    <row r="147" s="123" customFormat="1" x14ac:dyDescent="0.2"/>
    <row r="148" s="123" customFormat="1" x14ac:dyDescent="0.2"/>
    <row r="149" s="123" customFormat="1" x14ac:dyDescent="0.2"/>
    <row r="150" s="123" customFormat="1" x14ac:dyDescent="0.2"/>
    <row r="151" s="123" customFormat="1" x14ac:dyDescent="0.2"/>
    <row r="152" s="123" customFormat="1" x14ac:dyDescent="0.2"/>
    <row r="153" s="123" customFormat="1" x14ac:dyDescent="0.2"/>
    <row r="154" s="123" customFormat="1" x14ac:dyDescent="0.2"/>
    <row r="155" s="123" customFormat="1" x14ac:dyDescent="0.2"/>
    <row r="156" s="123" customFormat="1" x14ac:dyDescent="0.2"/>
    <row r="157" s="123" customFormat="1" x14ac:dyDescent="0.2"/>
    <row r="158" s="123" customFormat="1" x14ac:dyDescent="0.2"/>
  </sheetData>
  <mergeCells count="10">
    <mergeCell ref="B3:K3"/>
    <mergeCell ref="B27:AK27"/>
    <mergeCell ref="AN27:BW27"/>
    <mergeCell ref="B4:C4"/>
    <mergeCell ref="D4:E4"/>
    <mergeCell ref="F4:G4"/>
    <mergeCell ref="J4:K4"/>
    <mergeCell ref="B7:AK7"/>
    <mergeCell ref="AN7:BW7"/>
    <mergeCell ref="H4:I4"/>
  </mergeCells>
  <dataValidations disablePrompts="1" count="1">
    <dataValidation type="whole" showDropDown="1" showErrorMessage="1" errorTitle="Drop Down Box Cell Link" error="The value in a drop down box cell link must be a whole number within the control's lookup range rows." sqref="AJ21:AJ22">
      <formula1>1</formula1>
      <formula2>ROWS(month_selection)</formula2>
    </dataValidation>
  </dataValidations>
  <hyperlinks>
    <hyperlink ref="A4" location="$B$5" tooltip="Go to Top of Sheet" display="$B$5"/>
    <hyperlink ref="D4" location="HL_Sheet_Main_7" tooltip="Go to Next Sheet" display="HL_Sheet_Main_7"/>
    <hyperlink ref="B4" location="HL_Sheet_Main_14" tooltip="Go to Previous Sheet" display="HL_Sheet_Main_14"/>
    <hyperlink ref="B3" location="HL_Home" tooltip="Go to Table of Contents" display="HL_Home"/>
    <hyperlink ref="F4" location="HL_Err_Chk" tooltip="Go to Error Checks" display="HL_Err_Chk"/>
    <hyperlink ref="H4" location="HL_Alt_Chk" tooltip="Go to Alert Checks" display="HL_Alt_Chk"/>
  </hyperlinks>
  <pageMargins left="0.39370078740157477" right="0.39370078740157477" top="0.59055118110236227" bottom="0.98425196850393704" header="0" footer="0.31496062992126"/>
  <pageSetup paperSize="9" orientation="landscape" r:id="rId1"/>
  <headerFooter>
    <oddFooter>&amp;L&amp;F
&amp;A
Printed: &amp;T on &amp;D&amp;CPage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5" r:id="rId4" name="Drop Down 3">
              <controlPr defaultSize="0" autoFill="0" autoPict="0">
                <anchor moveWithCells="1">
                  <from>
                    <xdr:col>1</xdr:col>
                    <xdr:colOff>31750</xdr:colOff>
                    <xdr:row>20</xdr:row>
                    <xdr:rowOff>69850</xdr:rowOff>
                  </from>
                  <to>
                    <xdr:col>6</xdr:col>
                    <xdr:colOff>19050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autoPageBreaks="0"/>
  </sheetPr>
  <dimension ref="A1:S77"/>
  <sheetViews>
    <sheetView showGridLines="0" zoomScaleNormal="100" workbookViewId="0">
      <pane xSplit="1" ySplit="4" topLeftCell="B5" activePane="bottomRight" state="frozen"/>
      <selection activeCell="B11" sqref="B11:P11"/>
      <selection pane="topRight" activeCell="B11" sqref="B11:P11"/>
      <selection pane="bottomLeft" activeCell="B11" sqref="B11:P11"/>
      <selection pane="bottomRight" activeCell="B3" sqref="B3:F3"/>
    </sheetView>
  </sheetViews>
  <sheetFormatPr defaultColWidth="11.77734375" defaultRowHeight="10" x14ac:dyDescent="0.2"/>
  <cols>
    <col min="1" max="5" width="3.77734375" style="31" customWidth="1"/>
    <col min="6" max="6" width="11.77734375" style="168"/>
    <col min="7" max="8" width="11.77734375" style="169"/>
    <col min="9" max="16384" width="11.77734375" style="31"/>
  </cols>
  <sheetData>
    <row r="1" spans="1:19" ht="17.5" x14ac:dyDescent="0.2">
      <c r="B1" s="14" t="s">
        <v>111</v>
      </c>
    </row>
    <row r="2" spans="1:19" ht="15" x14ac:dyDescent="0.2">
      <c r="B2" s="151" t="str">
        <f>Model_Name</f>
        <v>Precise Debt Modelling (Loan 1 - live case) (Alert in Loan 2 solution)</v>
      </c>
    </row>
    <row r="3" spans="1:19" x14ac:dyDescent="0.2">
      <c r="B3" s="253" t="s">
        <v>76</v>
      </c>
      <c r="C3" s="253"/>
      <c r="D3" s="253"/>
      <c r="E3" s="253"/>
      <c r="F3" s="253"/>
    </row>
    <row r="4" spans="1:19" ht="12.5" x14ac:dyDescent="0.2">
      <c r="A4" s="152" t="s">
        <v>79</v>
      </c>
      <c r="B4" s="153" t="s">
        <v>82</v>
      </c>
      <c r="C4" s="154" t="s">
        <v>83</v>
      </c>
      <c r="D4" s="155" t="s">
        <v>100</v>
      </c>
      <c r="E4" s="156" t="s">
        <v>101</v>
      </c>
    </row>
    <row r="7" spans="1:19" ht="12.5" x14ac:dyDescent="0.2">
      <c r="B7" s="88" t="s">
        <v>220</v>
      </c>
      <c r="C7" s="170"/>
      <c r="D7" s="170"/>
      <c r="E7" s="170"/>
      <c r="F7" s="171"/>
      <c r="I7" s="170"/>
      <c r="J7" s="170"/>
      <c r="K7" s="170"/>
      <c r="L7" s="170"/>
      <c r="M7" s="170"/>
      <c r="N7" s="170"/>
      <c r="O7" s="170"/>
      <c r="Q7" s="253" t="str">
        <f>"Go to "&amp;HL_Select</f>
        <v>Go to Loan Assumption selection</v>
      </c>
      <c r="R7" s="253"/>
      <c r="S7" s="253"/>
    </row>
    <row r="8" spans="1:19" ht="12.5" x14ac:dyDescent="0.2">
      <c r="B8" s="172"/>
    </row>
    <row r="9" spans="1:19" ht="15" x14ac:dyDescent="0.2">
      <c r="B9" s="173" t="s">
        <v>0</v>
      </c>
    </row>
    <row r="10" spans="1:19" ht="15" x14ac:dyDescent="0.2">
      <c r="B10" s="173"/>
      <c r="I10" s="174">
        <f>IF(I16-H16+I24-H24+I32-H32+I40-H40=0,0,1)</f>
        <v>0</v>
      </c>
      <c r="J10" s="175" t="s">
        <v>218</v>
      </c>
    </row>
    <row r="11" spans="1:19" x14ac:dyDescent="0.2">
      <c r="C11" s="176" t="s">
        <v>36</v>
      </c>
    </row>
    <row r="12" spans="1:19" x14ac:dyDescent="0.2">
      <c r="D12" s="89" t="s">
        <v>37</v>
      </c>
    </row>
    <row r="14" spans="1:19" x14ac:dyDescent="0.2">
      <c r="I14" s="177" t="s">
        <v>120</v>
      </c>
    </row>
    <row r="15" spans="1:19" x14ac:dyDescent="0.2">
      <c r="I15" s="178" t="str">
        <f>INDEX(LU_loan_selection,DD_selection)</f>
        <v>Loan 1</v>
      </c>
    </row>
    <row r="16" spans="1:19" x14ac:dyDescent="0.2">
      <c r="F16" s="176" t="s">
        <v>112</v>
      </c>
      <c r="G16" s="179" t="s">
        <v>38</v>
      </c>
      <c r="H16" s="180">
        <v>24</v>
      </c>
      <c r="I16" s="181">
        <f>Calcs_TA!H21</f>
        <v>24</v>
      </c>
    </row>
    <row r="17" spans="2:19" x14ac:dyDescent="0.2">
      <c r="B17" s="182"/>
      <c r="C17" s="182"/>
      <c r="D17" s="182"/>
      <c r="E17" s="182"/>
      <c r="F17" s="183"/>
      <c r="G17" s="184" t="s">
        <v>122</v>
      </c>
      <c r="H17" s="185" t="s">
        <v>39</v>
      </c>
      <c r="I17" s="182"/>
      <c r="J17" s="182"/>
      <c r="K17" s="182"/>
      <c r="L17" s="182"/>
      <c r="M17" s="182"/>
      <c r="N17" s="182"/>
      <c r="O17" s="182"/>
      <c r="P17" s="103"/>
    </row>
    <row r="19" spans="2:19" x14ac:dyDescent="0.2">
      <c r="C19" s="186" t="s">
        <v>40</v>
      </c>
    </row>
    <row r="20" spans="2:19" x14ac:dyDescent="0.2">
      <c r="D20" s="169" t="s">
        <v>41</v>
      </c>
    </row>
    <row r="22" spans="2:19" x14ac:dyDescent="0.2">
      <c r="I22" s="177" t="s">
        <v>120</v>
      </c>
    </row>
    <row r="23" spans="2:19" x14ac:dyDescent="0.2">
      <c r="I23" s="178" t="str">
        <f>INDEX(LU_loan_selection,DD_selection)</f>
        <v>Loan 1</v>
      </c>
    </row>
    <row r="24" spans="2:19" x14ac:dyDescent="0.2">
      <c r="F24" s="186" t="s">
        <v>113</v>
      </c>
      <c r="G24" s="179" t="s">
        <v>38</v>
      </c>
      <c r="H24" s="187">
        <v>41593.719906084902</v>
      </c>
      <c r="I24" s="188">
        <f>Calcs_TA!H29</f>
        <v>41593.719906084902</v>
      </c>
    </row>
    <row r="25" spans="2:19" x14ac:dyDescent="0.2">
      <c r="B25" s="182"/>
      <c r="C25" s="182"/>
      <c r="D25" s="182"/>
      <c r="E25" s="182"/>
      <c r="F25" s="183"/>
      <c r="G25" s="184" t="s">
        <v>122</v>
      </c>
      <c r="H25" s="185" t="s">
        <v>57</v>
      </c>
      <c r="I25" s="182"/>
      <c r="J25" s="182"/>
      <c r="K25" s="182"/>
      <c r="L25" s="182"/>
      <c r="M25" s="182"/>
      <c r="N25" s="182"/>
      <c r="O25" s="182"/>
      <c r="P25" s="103"/>
    </row>
    <row r="27" spans="2:19" x14ac:dyDescent="0.2">
      <c r="C27" s="186" t="s">
        <v>42</v>
      </c>
    </row>
    <row r="28" spans="2:19" x14ac:dyDescent="0.2">
      <c r="D28" s="169" t="s">
        <v>43</v>
      </c>
    </row>
    <row r="29" spans="2:19" x14ac:dyDescent="0.2">
      <c r="D29" s="169" t="s">
        <v>44</v>
      </c>
      <c r="S29" s="189"/>
    </row>
    <row r="30" spans="2:19" x14ac:dyDescent="0.2">
      <c r="I30" s="177" t="s">
        <v>120</v>
      </c>
      <c r="S30" s="189"/>
    </row>
    <row r="31" spans="2:19" x14ac:dyDescent="0.2">
      <c r="I31" s="178" t="str">
        <f>INDEX(LU_loan_selection,DD_selection)</f>
        <v>Loan 1</v>
      </c>
    </row>
    <row r="32" spans="2:19" x14ac:dyDescent="0.2">
      <c r="F32" s="186" t="s">
        <v>114</v>
      </c>
      <c r="G32" s="179" t="s">
        <v>38</v>
      </c>
      <c r="H32" s="190">
        <v>4049.8477507737707</v>
      </c>
      <c r="I32" s="191">
        <f>pmt_gseek</f>
        <v>4049.8477507737707</v>
      </c>
    </row>
    <row r="33" spans="2:16" x14ac:dyDescent="0.2">
      <c r="B33" s="182"/>
      <c r="C33" s="182"/>
      <c r="D33" s="182"/>
      <c r="E33" s="182"/>
      <c r="F33" s="183"/>
      <c r="G33" s="184" t="s">
        <v>122</v>
      </c>
      <c r="H33" s="185" t="s">
        <v>58</v>
      </c>
      <c r="I33" s="182"/>
      <c r="J33" s="182"/>
      <c r="K33" s="182"/>
      <c r="L33" s="182"/>
      <c r="M33" s="182"/>
      <c r="N33" s="182"/>
      <c r="O33" s="182"/>
      <c r="P33" s="103"/>
    </row>
    <row r="35" spans="2:16" x14ac:dyDescent="0.2">
      <c r="C35" s="186" t="s">
        <v>45</v>
      </c>
    </row>
    <row r="36" spans="2:16" x14ac:dyDescent="0.2">
      <c r="D36" s="169" t="s">
        <v>46</v>
      </c>
    </row>
    <row r="37" spans="2:16" x14ac:dyDescent="0.2">
      <c r="D37" s="169" t="s">
        <v>47</v>
      </c>
    </row>
    <row r="38" spans="2:16" x14ac:dyDescent="0.2">
      <c r="I38" s="177" t="s">
        <v>120</v>
      </c>
    </row>
    <row r="39" spans="2:16" x14ac:dyDescent="0.2">
      <c r="I39" s="178" t="str">
        <f>INDEX(LU_loan_selection,DD_selection)</f>
        <v>Loan 1</v>
      </c>
    </row>
    <row r="40" spans="2:16" x14ac:dyDescent="0.2">
      <c r="F40" s="186" t="s">
        <v>115</v>
      </c>
      <c r="G40" s="179" t="s">
        <v>38</v>
      </c>
      <c r="H40" s="180">
        <v>46</v>
      </c>
      <c r="I40" s="192">
        <f>Calcs_TA!H47</f>
        <v>46</v>
      </c>
    </row>
    <row r="41" spans="2:16" x14ac:dyDescent="0.2">
      <c r="G41" s="184" t="s">
        <v>122</v>
      </c>
      <c r="H41" s="185" t="s">
        <v>39</v>
      </c>
    </row>
    <row r="42" spans="2:16" x14ac:dyDescent="0.2">
      <c r="I42" s="193"/>
      <c r="J42" s="194"/>
    </row>
    <row r="43" spans="2:16" ht="2.25" customHeight="1" thickBot="1" x14ac:dyDescent="0.25">
      <c r="B43" s="195"/>
      <c r="C43" s="195"/>
      <c r="D43" s="195"/>
      <c r="E43" s="195"/>
      <c r="F43" s="196"/>
      <c r="G43" s="197"/>
      <c r="H43" s="197"/>
      <c r="I43" s="198"/>
      <c r="J43" s="199"/>
      <c r="K43" s="195"/>
      <c r="L43" s="195"/>
      <c r="M43" s="195"/>
      <c r="N43" s="195"/>
      <c r="O43" s="195"/>
      <c r="P43" s="103"/>
    </row>
    <row r="44" spans="2:16" ht="2.25" customHeight="1" thickTop="1" x14ac:dyDescent="0.2">
      <c r="G44" s="111"/>
      <c r="H44" s="111"/>
      <c r="I44" s="193"/>
      <c r="J44" s="194"/>
      <c r="K44" s="103"/>
      <c r="L44" s="103"/>
      <c r="M44" s="103"/>
      <c r="N44" s="103"/>
      <c r="O44" s="103"/>
      <c r="P44" s="103"/>
    </row>
    <row r="45" spans="2:16" ht="15" x14ac:dyDescent="0.2">
      <c r="B45" s="200" t="s">
        <v>4</v>
      </c>
    </row>
    <row r="46" spans="2:16" ht="15" x14ac:dyDescent="0.2">
      <c r="B46" s="200"/>
      <c r="I46" s="174">
        <f>IF(I52-H52+I60-H60+I68-H68+I76-H76=0,0,1)</f>
        <v>1</v>
      </c>
      <c r="J46" s="175" t="s">
        <v>218</v>
      </c>
    </row>
    <row r="47" spans="2:16" x14ac:dyDescent="0.2">
      <c r="C47" s="186" t="s">
        <v>48</v>
      </c>
    </row>
    <row r="48" spans="2:16" x14ac:dyDescent="0.2">
      <c r="D48" s="169" t="s">
        <v>49</v>
      </c>
    </row>
    <row r="50" spans="2:15" x14ac:dyDescent="0.2">
      <c r="I50" s="177" t="s">
        <v>120</v>
      </c>
    </row>
    <row r="51" spans="2:15" x14ac:dyDescent="0.2">
      <c r="I51" s="178" t="str">
        <f>INDEX(LU_loan_selection,DD_selection)</f>
        <v>Loan 1</v>
      </c>
    </row>
    <row r="52" spans="2:15" x14ac:dyDescent="0.2">
      <c r="F52" s="186" t="s">
        <v>116</v>
      </c>
      <c r="G52" s="179" t="s">
        <v>38</v>
      </c>
      <c r="H52" s="201">
        <v>13</v>
      </c>
      <c r="I52" s="192">
        <f>Calcs_TA!H50</f>
        <v>17</v>
      </c>
    </row>
    <row r="53" spans="2:15" x14ac:dyDescent="0.2">
      <c r="B53" s="182"/>
      <c r="C53" s="182"/>
      <c r="D53" s="182"/>
      <c r="E53" s="182"/>
      <c r="F53" s="183"/>
      <c r="G53" s="184" t="s">
        <v>122</v>
      </c>
      <c r="H53" s="185" t="s">
        <v>59</v>
      </c>
      <c r="I53" s="182"/>
      <c r="J53" s="182"/>
      <c r="K53" s="182"/>
      <c r="L53" s="182"/>
      <c r="M53" s="182"/>
      <c r="N53" s="182"/>
      <c r="O53" s="182"/>
    </row>
    <row r="55" spans="2:15" x14ac:dyDescent="0.2">
      <c r="C55" s="186" t="s">
        <v>50</v>
      </c>
    </row>
    <row r="56" spans="2:15" x14ac:dyDescent="0.2">
      <c r="D56" s="169" t="s">
        <v>51</v>
      </c>
    </row>
    <row r="58" spans="2:15" x14ac:dyDescent="0.2">
      <c r="I58" s="177" t="s">
        <v>120</v>
      </c>
    </row>
    <row r="59" spans="2:15" x14ac:dyDescent="0.2">
      <c r="I59" s="178" t="str">
        <f>INDEX(LU_loan_selection,DD_selection)</f>
        <v>Loan 1</v>
      </c>
    </row>
    <row r="60" spans="2:15" x14ac:dyDescent="0.2">
      <c r="F60" s="186" t="s">
        <v>117</v>
      </c>
      <c r="G60" s="179" t="s">
        <v>38</v>
      </c>
      <c r="H60" s="187">
        <v>2394.9834643643421</v>
      </c>
      <c r="I60" s="188">
        <f>pmt_gseek</f>
        <v>4049.8477507737707</v>
      </c>
    </row>
    <row r="61" spans="2:15" x14ac:dyDescent="0.2">
      <c r="B61" s="182"/>
      <c r="C61" s="182"/>
      <c r="D61" s="182"/>
      <c r="E61" s="182"/>
      <c r="F61" s="183"/>
      <c r="G61" s="184" t="s">
        <v>122</v>
      </c>
      <c r="H61" s="185" t="s">
        <v>59</v>
      </c>
      <c r="I61" s="182"/>
      <c r="J61" s="182"/>
      <c r="K61" s="182"/>
      <c r="L61" s="182"/>
      <c r="M61" s="182"/>
      <c r="N61" s="182"/>
      <c r="O61" s="182"/>
    </row>
    <row r="63" spans="2:15" x14ac:dyDescent="0.2">
      <c r="C63" s="186" t="s">
        <v>52</v>
      </c>
    </row>
    <row r="64" spans="2:15" x14ac:dyDescent="0.2">
      <c r="D64" s="169" t="s">
        <v>53</v>
      </c>
    </row>
    <row r="66" spans="2:15" x14ac:dyDescent="0.2">
      <c r="I66" s="177" t="s">
        <v>120</v>
      </c>
    </row>
    <row r="67" spans="2:15" x14ac:dyDescent="0.2">
      <c r="I67" s="178" t="str">
        <f>INDEX(LU_loan_selection,DD_selection)</f>
        <v>Loan 1</v>
      </c>
    </row>
    <row r="68" spans="2:15" x14ac:dyDescent="0.2">
      <c r="F68" s="186" t="s">
        <v>118</v>
      </c>
      <c r="G68" s="179" t="s">
        <v>38</v>
      </c>
      <c r="H68" s="202">
        <v>77566.34260614535</v>
      </c>
      <c r="I68" s="203">
        <f>Calcs_TA!H53</f>
        <v>213538.85359324675</v>
      </c>
    </row>
    <row r="69" spans="2:15" x14ac:dyDescent="0.2">
      <c r="B69" s="182"/>
      <c r="C69" s="182"/>
      <c r="D69" s="182"/>
      <c r="E69" s="182"/>
      <c r="F69" s="183"/>
      <c r="G69" s="184" t="s">
        <v>122</v>
      </c>
      <c r="H69" s="185" t="s">
        <v>59</v>
      </c>
      <c r="I69" s="182"/>
      <c r="J69" s="182"/>
      <c r="K69" s="182"/>
      <c r="L69" s="182"/>
      <c r="M69" s="182"/>
      <c r="N69" s="182"/>
      <c r="O69" s="182"/>
    </row>
    <row r="71" spans="2:15" x14ac:dyDescent="0.2">
      <c r="C71" s="186" t="s">
        <v>54</v>
      </c>
    </row>
    <row r="72" spans="2:15" x14ac:dyDescent="0.2">
      <c r="D72" s="169" t="s">
        <v>55</v>
      </c>
    </row>
    <row r="73" spans="2:15" x14ac:dyDescent="0.2">
      <c r="D73" s="169" t="s">
        <v>56</v>
      </c>
    </row>
    <row r="74" spans="2:15" x14ac:dyDescent="0.2">
      <c r="I74" s="177" t="s">
        <v>120</v>
      </c>
    </row>
    <row r="75" spans="2:15" x14ac:dyDescent="0.2">
      <c r="I75" s="178" t="str">
        <f>INDEX(LU_loan_selection,DD_selection)</f>
        <v>Loan 1</v>
      </c>
    </row>
    <row r="76" spans="2:15" x14ac:dyDescent="0.2">
      <c r="F76" s="186" t="s">
        <v>119</v>
      </c>
      <c r="G76" s="179" t="s">
        <v>38</v>
      </c>
      <c r="H76" s="204">
        <v>0.1301262140921399</v>
      </c>
      <c r="I76" s="205">
        <f>Calcs_TA!H57</f>
        <v>0.14262894906140355</v>
      </c>
    </row>
    <row r="77" spans="2:15" x14ac:dyDescent="0.2">
      <c r="B77" s="182"/>
      <c r="C77" s="182"/>
      <c r="D77" s="182"/>
      <c r="E77" s="182"/>
      <c r="F77" s="183"/>
      <c r="G77" s="184" t="s">
        <v>122</v>
      </c>
      <c r="H77" s="185" t="s">
        <v>58</v>
      </c>
      <c r="I77" s="182"/>
      <c r="J77" s="182"/>
      <c r="K77" s="182"/>
      <c r="L77" s="182"/>
      <c r="M77" s="182"/>
      <c r="N77" s="182"/>
      <c r="O77" s="182"/>
    </row>
  </sheetData>
  <mergeCells count="2">
    <mergeCell ref="Q7:S7"/>
    <mergeCell ref="B3:F3"/>
  </mergeCells>
  <conditionalFormatting sqref="I10">
    <cfRule type="cellIs" dxfId="21" priority="1" stopIfTrue="1" operator="notEqual">
      <formula>0</formula>
    </cfRule>
  </conditionalFormatting>
  <conditionalFormatting sqref="I46">
    <cfRule type="cellIs" dxfId="20" priority="2" stopIfTrue="1" operator="notEqual">
      <formula>0</formula>
    </cfRule>
  </conditionalFormatting>
  <hyperlinks>
    <hyperlink ref="Q7" location="HL_Select" tooltip="Go to Loan Assumption selection" display="HL_Select"/>
    <hyperlink ref="B4" location="HL_Sheet_Main_4" tooltip="Go to Previous Sheet" display="HL_Sheet_Main_4"/>
    <hyperlink ref="A4" location="$B$5" tooltip="Go to Top of Sheet" display="$B$5"/>
    <hyperlink ref="C4" location="HL_Sheet_Main_8" tooltip="Go to Next Sheet" display="HL_Sheet_Main_8"/>
    <hyperlink ref="B3" location="HL_Home" tooltip="Go to Table of Contents" display="HL_Home"/>
    <hyperlink ref="D4" location="HL_Err_Chk" tooltip="Go to Error Checks" display="HL_Err_Chk"/>
    <hyperlink ref="E4" location="HL_Alt_Chk" tooltip="Go to Alert Checks" display="HL_Alt_Chk"/>
  </hyperlinks>
  <pageMargins left="0.39370078740157499" right="0.39370078740157499" top="0.59055118110236204" bottom="0.98425196850393704" header="0" footer="0.31496062992126"/>
  <pageSetup paperSize="9" orientation="landscape" r:id="rId1"/>
  <headerFooter>
    <oddFooter>&amp;L&amp;F
&amp;A
Printed: &amp;T on &amp;D&amp;CPage &amp;P of &amp;N</oddFoot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autoPageBreaks="0" fitToPage="1"/>
  </sheetPr>
  <dimension ref="C9:G20"/>
  <sheetViews>
    <sheetView showGridLines="0" zoomScaleNormal="100" workbookViewId="0">
      <selection activeCell="C13" sqref="C13"/>
    </sheetView>
  </sheetViews>
  <sheetFormatPr defaultColWidth="11.77734375" defaultRowHeight="10" x14ac:dyDescent="0.2"/>
  <cols>
    <col min="1" max="2" width="11.77734375" style="15"/>
    <col min="3" max="6" width="3.77734375" style="15" customWidth="1"/>
    <col min="7" max="16384" width="11.77734375" style="15"/>
  </cols>
  <sheetData>
    <row r="9" spans="3:7" ht="17.5" x14ac:dyDescent="0.2">
      <c r="C9" s="27" t="s">
        <v>85</v>
      </c>
    </row>
    <row r="10" spans="3:7" ht="16" x14ac:dyDescent="0.2">
      <c r="C10" s="33" t="s">
        <v>106</v>
      </c>
    </row>
    <row r="11" spans="3:7" ht="15" x14ac:dyDescent="0.2">
      <c r="C11" s="28" t="str">
        <f>Model_Name</f>
        <v>Precise Debt Modelling (Loan 1 - live case) (Alert in Loan 2 solution)</v>
      </c>
    </row>
    <row r="12" spans="3:7" x14ac:dyDescent="0.2">
      <c r="C12" s="230" t="s">
        <v>76</v>
      </c>
      <c r="D12" s="230"/>
      <c r="E12" s="230"/>
      <c r="F12" s="230"/>
      <c r="G12" s="230"/>
    </row>
    <row r="13" spans="3:7" ht="12.5" x14ac:dyDescent="0.2">
      <c r="C13" s="2" t="s">
        <v>82</v>
      </c>
      <c r="D13" s="3" t="s">
        <v>83</v>
      </c>
    </row>
    <row r="17" spans="3:3" x14ac:dyDescent="0.2">
      <c r="C17" s="17" t="s">
        <v>81</v>
      </c>
    </row>
    <row r="18" spans="3:3" x14ac:dyDescent="0.2">
      <c r="C18" s="25" t="s">
        <v>236</v>
      </c>
    </row>
    <row r="19" spans="3:3" x14ac:dyDescent="0.2">
      <c r="C19" s="26"/>
    </row>
    <row r="20" spans="3:3" x14ac:dyDescent="0.2">
      <c r="C20" s="26"/>
    </row>
  </sheetData>
  <mergeCells count="1">
    <mergeCell ref="C12:G12"/>
  </mergeCells>
  <hyperlinks>
    <hyperlink ref="C13" location="HL_Sheet_Main_7" tooltip="Go to Previous Sheet" display="HL_Sheet_Main_7"/>
    <hyperlink ref="D13" location="HL_Sheet_Main_10" tooltip="Go to Next Sheet" display="HL_Sheet_Main_10"/>
    <hyperlink ref="C12" location="HL_Home" tooltip="Go to Table of Contents" display="HL_Home"/>
  </hyperlinks>
  <pageMargins left="0.39370078740157499" right="0.39370078740157499" top="0.59055118110236204" bottom="0.98425196850393704" header="0" footer="0.31496062992126"/>
  <pageSetup paperSize="9" orientation="landscape" r:id="rId1"/>
  <headerFooter>
    <oddFooter>&amp;L&amp;F
&amp;A
Printed: &amp;T on &amp;D&amp;CPage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autoPageBreaks="0"/>
  </sheetPr>
  <dimension ref="A1:G88"/>
  <sheetViews>
    <sheetView showGridLines="0" zoomScaleNormal="100" workbookViewId="0">
      <pane xSplit="1" ySplit="4" topLeftCell="B5" activePane="bottomRight" state="frozen"/>
      <selection activeCell="B11" sqref="B11:P11"/>
      <selection pane="topRight" activeCell="B11" sqref="B11:P11"/>
      <selection pane="bottomLeft" activeCell="B11" sqref="B11:P11"/>
      <selection pane="bottomRight" activeCell="B4" sqref="B4"/>
    </sheetView>
  </sheetViews>
  <sheetFormatPr defaultColWidth="11.77734375" defaultRowHeight="10" x14ac:dyDescent="0.2"/>
  <cols>
    <col min="1" max="2" width="3.77734375" style="15" customWidth="1"/>
    <col min="3" max="3" width="4.6640625" style="15" customWidth="1"/>
    <col min="4" max="4" width="22.77734375" style="15" customWidth="1"/>
    <col min="5" max="5" width="3.77734375" style="15" customWidth="1"/>
    <col min="6" max="6" width="35.77734375" style="15" customWidth="1"/>
    <col min="7" max="7" width="3.77734375" style="15" customWidth="1"/>
    <col min="8" max="16384" width="11.77734375" style="15"/>
  </cols>
  <sheetData>
    <row r="1" spans="1:7" ht="17.5" x14ac:dyDescent="0.2">
      <c r="B1" s="27" t="s">
        <v>86</v>
      </c>
    </row>
    <row r="2" spans="1:7" ht="15" x14ac:dyDescent="0.2">
      <c r="B2" s="28" t="str">
        <f>Model_Name</f>
        <v>Precise Debt Modelling (Loan 1 - live case) (Alert in Loan 2 solution)</v>
      </c>
    </row>
    <row r="3" spans="1:7" x14ac:dyDescent="0.2">
      <c r="B3" s="230" t="s">
        <v>76</v>
      </c>
      <c r="C3" s="230"/>
      <c r="D3" s="230"/>
    </row>
    <row r="4" spans="1:7" ht="12.5" x14ac:dyDescent="0.2">
      <c r="A4" s="1" t="s">
        <v>79</v>
      </c>
      <c r="B4" s="2" t="s">
        <v>82</v>
      </c>
      <c r="C4" s="13" t="s">
        <v>83</v>
      </c>
      <c r="D4" s="8"/>
      <c r="E4" s="9"/>
      <c r="F4" s="10"/>
    </row>
    <row r="7" spans="1:7" ht="12.5" x14ac:dyDescent="0.2">
      <c r="B7" s="18" t="s">
        <v>86</v>
      </c>
    </row>
    <row r="10" spans="1:7" x14ac:dyDescent="0.2">
      <c r="D10" s="93" t="s">
        <v>11</v>
      </c>
      <c r="E10" s="31"/>
      <c r="F10" s="89" t="s">
        <v>231</v>
      </c>
      <c r="G10" s="31"/>
    </row>
    <row r="11" spans="1:7" x14ac:dyDescent="0.2">
      <c r="D11" s="90" t="s">
        <v>0</v>
      </c>
      <c r="E11" s="89"/>
      <c r="F11" s="31"/>
      <c r="G11" s="31"/>
    </row>
    <row r="12" spans="1:7" x14ac:dyDescent="0.2">
      <c r="D12" s="91" t="s">
        <v>4</v>
      </c>
      <c r="E12" s="89"/>
      <c r="F12" s="31"/>
      <c r="G12" s="31"/>
    </row>
    <row r="13" spans="1:7" x14ac:dyDescent="0.2">
      <c r="D13" s="31"/>
      <c r="E13" s="31"/>
      <c r="F13" s="31"/>
      <c r="G13" s="31"/>
    </row>
    <row r="14" spans="1:7" x14ac:dyDescent="0.2">
      <c r="D14" s="31"/>
      <c r="E14" s="31"/>
      <c r="F14" s="31"/>
      <c r="G14" s="31"/>
    </row>
    <row r="15" spans="1:7" x14ac:dyDescent="0.2">
      <c r="E15" s="31"/>
      <c r="F15" s="31"/>
      <c r="G15" s="31"/>
    </row>
    <row r="16" spans="1:7" x14ac:dyDescent="0.2">
      <c r="D16" s="93" t="s">
        <v>71</v>
      </c>
      <c r="E16" s="31"/>
      <c r="F16" s="89" t="s">
        <v>217</v>
      </c>
      <c r="G16" s="31"/>
    </row>
    <row r="17" spans="3:7" x14ac:dyDescent="0.2">
      <c r="C17" s="117">
        <v>1</v>
      </c>
      <c r="D17" s="99">
        <f>Calcs_TA!J9</f>
        <v>42054</v>
      </c>
      <c r="E17" s="31"/>
      <c r="G17" s="31"/>
    </row>
    <row r="18" spans="3:7" x14ac:dyDescent="0.2">
      <c r="C18" s="92">
        <f t="shared" ref="C18:C49" si="0">1+C17</f>
        <v>2</v>
      </c>
      <c r="D18" s="100">
        <f t="shared" ref="D18:D49" si="1">EDATE(D17,1)</f>
        <v>42082</v>
      </c>
      <c r="E18" s="31"/>
      <c r="F18" s="31"/>
      <c r="G18" s="31"/>
    </row>
    <row r="19" spans="3:7" x14ac:dyDescent="0.2">
      <c r="C19" s="92">
        <f t="shared" si="0"/>
        <v>3</v>
      </c>
      <c r="D19" s="100">
        <f t="shared" si="1"/>
        <v>42113</v>
      </c>
      <c r="E19" s="31"/>
      <c r="F19" s="31"/>
      <c r="G19" s="31"/>
    </row>
    <row r="20" spans="3:7" x14ac:dyDescent="0.2">
      <c r="C20" s="92">
        <f t="shared" si="0"/>
        <v>4</v>
      </c>
      <c r="D20" s="100">
        <f t="shared" si="1"/>
        <v>42143</v>
      </c>
      <c r="E20" s="31"/>
      <c r="F20" s="31"/>
      <c r="G20" s="31"/>
    </row>
    <row r="21" spans="3:7" x14ac:dyDescent="0.2">
      <c r="C21" s="92">
        <f t="shared" si="0"/>
        <v>5</v>
      </c>
      <c r="D21" s="100">
        <f t="shared" si="1"/>
        <v>42174</v>
      </c>
      <c r="E21" s="31"/>
      <c r="F21" s="31"/>
      <c r="G21" s="31"/>
    </row>
    <row r="22" spans="3:7" x14ac:dyDescent="0.2">
      <c r="C22" s="92">
        <f t="shared" si="0"/>
        <v>6</v>
      </c>
      <c r="D22" s="100">
        <f t="shared" si="1"/>
        <v>42204</v>
      </c>
      <c r="E22" s="31"/>
      <c r="F22" s="31"/>
      <c r="G22" s="31"/>
    </row>
    <row r="23" spans="3:7" x14ac:dyDescent="0.2">
      <c r="C23" s="92">
        <f t="shared" si="0"/>
        <v>7</v>
      </c>
      <c r="D23" s="100">
        <f t="shared" si="1"/>
        <v>42235</v>
      </c>
      <c r="E23" s="31"/>
      <c r="F23" s="31"/>
      <c r="G23" s="31"/>
    </row>
    <row r="24" spans="3:7" x14ac:dyDescent="0.2">
      <c r="C24" s="92">
        <f t="shared" si="0"/>
        <v>8</v>
      </c>
      <c r="D24" s="100">
        <f t="shared" si="1"/>
        <v>42266</v>
      </c>
      <c r="E24" s="31"/>
      <c r="F24" s="31"/>
      <c r="G24" s="31"/>
    </row>
    <row r="25" spans="3:7" x14ac:dyDescent="0.2">
      <c r="C25" s="92">
        <f t="shared" si="0"/>
        <v>9</v>
      </c>
      <c r="D25" s="100">
        <f t="shared" si="1"/>
        <v>42296</v>
      </c>
      <c r="E25" s="31"/>
      <c r="F25" s="31"/>
      <c r="G25" s="31"/>
    </row>
    <row r="26" spans="3:7" x14ac:dyDescent="0.2">
      <c r="C26" s="92">
        <f t="shared" si="0"/>
        <v>10</v>
      </c>
      <c r="D26" s="100">
        <f t="shared" si="1"/>
        <v>42327</v>
      </c>
      <c r="E26" s="31"/>
      <c r="F26" s="31"/>
      <c r="G26" s="31"/>
    </row>
    <row r="27" spans="3:7" x14ac:dyDescent="0.2">
      <c r="C27" s="92">
        <f t="shared" si="0"/>
        <v>11</v>
      </c>
      <c r="D27" s="100">
        <f t="shared" si="1"/>
        <v>42357</v>
      </c>
      <c r="E27" s="31"/>
      <c r="F27" s="31"/>
      <c r="G27" s="31"/>
    </row>
    <row r="28" spans="3:7" x14ac:dyDescent="0.2">
      <c r="C28" s="92">
        <f t="shared" si="0"/>
        <v>12</v>
      </c>
      <c r="D28" s="100">
        <f t="shared" si="1"/>
        <v>42388</v>
      </c>
      <c r="E28" s="31"/>
      <c r="F28" s="31"/>
      <c r="G28" s="31"/>
    </row>
    <row r="29" spans="3:7" x14ac:dyDescent="0.2">
      <c r="C29" s="92">
        <f t="shared" si="0"/>
        <v>13</v>
      </c>
      <c r="D29" s="100">
        <f t="shared" si="1"/>
        <v>42419</v>
      </c>
      <c r="E29" s="31"/>
      <c r="F29" s="31"/>
      <c r="G29" s="31"/>
    </row>
    <row r="30" spans="3:7" x14ac:dyDescent="0.2">
      <c r="C30" s="92">
        <f t="shared" si="0"/>
        <v>14</v>
      </c>
      <c r="D30" s="100">
        <f t="shared" si="1"/>
        <v>42448</v>
      </c>
      <c r="E30" s="31"/>
      <c r="F30" s="31"/>
      <c r="G30" s="31"/>
    </row>
    <row r="31" spans="3:7" x14ac:dyDescent="0.2">
      <c r="C31" s="92">
        <f t="shared" si="0"/>
        <v>15</v>
      </c>
      <c r="D31" s="100">
        <f t="shared" si="1"/>
        <v>42479</v>
      </c>
      <c r="E31" s="31"/>
      <c r="F31" s="31"/>
      <c r="G31" s="31"/>
    </row>
    <row r="32" spans="3:7" x14ac:dyDescent="0.2">
      <c r="C32" s="92">
        <f t="shared" si="0"/>
        <v>16</v>
      </c>
      <c r="D32" s="100">
        <f t="shared" si="1"/>
        <v>42509</v>
      </c>
      <c r="E32" s="31"/>
      <c r="F32" s="31"/>
      <c r="G32" s="31"/>
    </row>
    <row r="33" spans="3:7" x14ac:dyDescent="0.2">
      <c r="C33" s="92">
        <f t="shared" si="0"/>
        <v>17</v>
      </c>
      <c r="D33" s="100">
        <f t="shared" si="1"/>
        <v>42540</v>
      </c>
      <c r="E33" s="31"/>
      <c r="F33" s="31"/>
      <c r="G33" s="31"/>
    </row>
    <row r="34" spans="3:7" x14ac:dyDescent="0.2">
      <c r="C34" s="92">
        <f t="shared" si="0"/>
        <v>18</v>
      </c>
      <c r="D34" s="100">
        <f t="shared" si="1"/>
        <v>42570</v>
      </c>
      <c r="E34" s="31"/>
      <c r="F34" s="31"/>
      <c r="G34" s="31"/>
    </row>
    <row r="35" spans="3:7" x14ac:dyDescent="0.2">
      <c r="C35" s="92">
        <f t="shared" si="0"/>
        <v>19</v>
      </c>
      <c r="D35" s="100">
        <f t="shared" si="1"/>
        <v>42601</v>
      </c>
      <c r="E35" s="31"/>
      <c r="F35" s="31"/>
      <c r="G35" s="31"/>
    </row>
    <row r="36" spans="3:7" x14ac:dyDescent="0.2">
      <c r="C36" s="92">
        <f t="shared" si="0"/>
        <v>20</v>
      </c>
      <c r="D36" s="100">
        <f t="shared" si="1"/>
        <v>42632</v>
      </c>
      <c r="E36" s="31"/>
      <c r="F36" s="31"/>
      <c r="G36" s="31"/>
    </row>
    <row r="37" spans="3:7" x14ac:dyDescent="0.2">
      <c r="C37" s="92">
        <f t="shared" si="0"/>
        <v>21</v>
      </c>
      <c r="D37" s="100">
        <f t="shared" si="1"/>
        <v>42662</v>
      </c>
      <c r="E37" s="31"/>
      <c r="F37" s="31"/>
      <c r="G37" s="31"/>
    </row>
    <row r="38" spans="3:7" x14ac:dyDescent="0.2">
      <c r="C38" s="92">
        <f t="shared" si="0"/>
        <v>22</v>
      </c>
      <c r="D38" s="100">
        <f t="shared" si="1"/>
        <v>42693</v>
      </c>
      <c r="E38" s="31"/>
      <c r="F38" s="31"/>
      <c r="G38" s="31"/>
    </row>
    <row r="39" spans="3:7" x14ac:dyDescent="0.2">
      <c r="C39" s="92">
        <f t="shared" si="0"/>
        <v>23</v>
      </c>
      <c r="D39" s="100">
        <f t="shared" si="1"/>
        <v>42723</v>
      </c>
      <c r="E39" s="31"/>
      <c r="F39" s="31"/>
      <c r="G39" s="31"/>
    </row>
    <row r="40" spans="3:7" x14ac:dyDescent="0.2">
      <c r="C40" s="92">
        <f t="shared" si="0"/>
        <v>24</v>
      </c>
      <c r="D40" s="100">
        <f t="shared" si="1"/>
        <v>42754</v>
      </c>
      <c r="E40" s="31"/>
      <c r="F40" s="31"/>
      <c r="G40" s="31"/>
    </row>
    <row r="41" spans="3:7" x14ac:dyDescent="0.2">
      <c r="C41" s="92">
        <f t="shared" si="0"/>
        <v>25</v>
      </c>
      <c r="D41" s="100">
        <f t="shared" si="1"/>
        <v>42785</v>
      </c>
      <c r="E41" s="31"/>
      <c r="F41" s="31"/>
      <c r="G41" s="31"/>
    </row>
    <row r="42" spans="3:7" x14ac:dyDescent="0.2">
      <c r="C42" s="92">
        <f t="shared" si="0"/>
        <v>26</v>
      </c>
      <c r="D42" s="100">
        <f t="shared" si="1"/>
        <v>42813</v>
      </c>
      <c r="E42" s="31"/>
      <c r="F42" s="31"/>
      <c r="G42" s="31"/>
    </row>
    <row r="43" spans="3:7" x14ac:dyDescent="0.2">
      <c r="C43" s="92">
        <f t="shared" si="0"/>
        <v>27</v>
      </c>
      <c r="D43" s="100">
        <f t="shared" si="1"/>
        <v>42844</v>
      </c>
      <c r="E43" s="31"/>
      <c r="F43" s="31"/>
      <c r="G43" s="31"/>
    </row>
    <row r="44" spans="3:7" x14ac:dyDescent="0.2">
      <c r="C44" s="92">
        <f t="shared" si="0"/>
        <v>28</v>
      </c>
      <c r="D44" s="100">
        <f t="shared" si="1"/>
        <v>42874</v>
      </c>
      <c r="E44" s="31"/>
      <c r="F44" s="31"/>
      <c r="G44" s="31"/>
    </row>
    <row r="45" spans="3:7" x14ac:dyDescent="0.2">
      <c r="C45" s="92">
        <f t="shared" si="0"/>
        <v>29</v>
      </c>
      <c r="D45" s="100">
        <f t="shared" si="1"/>
        <v>42905</v>
      </c>
      <c r="E45" s="31"/>
      <c r="F45" s="31"/>
      <c r="G45" s="31"/>
    </row>
    <row r="46" spans="3:7" x14ac:dyDescent="0.2">
      <c r="C46" s="92">
        <f t="shared" si="0"/>
        <v>30</v>
      </c>
      <c r="D46" s="100">
        <f t="shared" si="1"/>
        <v>42935</v>
      </c>
      <c r="E46" s="31"/>
      <c r="F46" s="31"/>
      <c r="G46" s="31"/>
    </row>
    <row r="47" spans="3:7" x14ac:dyDescent="0.2">
      <c r="C47" s="92">
        <f t="shared" si="0"/>
        <v>31</v>
      </c>
      <c r="D47" s="100">
        <f t="shared" si="1"/>
        <v>42966</v>
      </c>
      <c r="E47" s="31"/>
      <c r="F47" s="31"/>
      <c r="G47" s="31"/>
    </row>
    <row r="48" spans="3:7" x14ac:dyDescent="0.2">
      <c r="C48" s="92">
        <f t="shared" si="0"/>
        <v>32</v>
      </c>
      <c r="D48" s="100">
        <f t="shared" si="1"/>
        <v>42997</v>
      </c>
      <c r="E48" s="31"/>
      <c r="F48" s="31"/>
      <c r="G48" s="31"/>
    </row>
    <row r="49" spans="3:7" x14ac:dyDescent="0.2">
      <c r="C49" s="92">
        <f t="shared" si="0"/>
        <v>33</v>
      </c>
      <c r="D49" s="100">
        <f t="shared" si="1"/>
        <v>43027</v>
      </c>
      <c r="E49" s="31"/>
      <c r="F49" s="31"/>
      <c r="G49" s="31"/>
    </row>
    <row r="50" spans="3:7" x14ac:dyDescent="0.2">
      <c r="C50" s="92">
        <f t="shared" ref="C50:C81" si="2">1+C49</f>
        <v>34</v>
      </c>
      <c r="D50" s="100">
        <f t="shared" ref="D50:D81" si="3">EDATE(D49,1)</f>
        <v>43058</v>
      </c>
      <c r="E50" s="31"/>
      <c r="F50" s="31"/>
      <c r="G50" s="31"/>
    </row>
    <row r="51" spans="3:7" x14ac:dyDescent="0.2">
      <c r="C51" s="92">
        <f t="shared" si="2"/>
        <v>35</v>
      </c>
      <c r="D51" s="100">
        <f t="shared" si="3"/>
        <v>43088</v>
      </c>
      <c r="E51" s="31"/>
      <c r="F51" s="31"/>
      <c r="G51" s="31"/>
    </row>
    <row r="52" spans="3:7" x14ac:dyDescent="0.2">
      <c r="C52" s="92">
        <f t="shared" si="2"/>
        <v>36</v>
      </c>
      <c r="D52" s="100">
        <f t="shared" si="3"/>
        <v>43119</v>
      </c>
      <c r="E52" s="31"/>
      <c r="F52" s="31"/>
      <c r="G52" s="31"/>
    </row>
    <row r="53" spans="3:7" x14ac:dyDescent="0.2">
      <c r="C53" s="92">
        <f t="shared" si="2"/>
        <v>37</v>
      </c>
      <c r="D53" s="100">
        <f t="shared" si="3"/>
        <v>43150</v>
      </c>
      <c r="E53" s="31"/>
      <c r="F53" s="31"/>
      <c r="G53" s="31"/>
    </row>
    <row r="54" spans="3:7" x14ac:dyDescent="0.2">
      <c r="C54" s="92">
        <f t="shared" si="2"/>
        <v>38</v>
      </c>
      <c r="D54" s="100">
        <f t="shared" si="3"/>
        <v>43178</v>
      </c>
      <c r="E54" s="31"/>
      <c r="F54" s="31"/>
      <c r="G54" s="31"/>
    </row>
    <row r="55" spans="3:7" x14ac:dyDescent="0.2">
      <c r="C55" s="92">
        <f t="shared" si="2"/>
        <v>39</v>
      </c>
      <c r="D55" s="100">
        <f t="shared" si="3"/>
        <v>43209</v>
      </c>
      <c r="E55" s="31"/>
      <c r="F55" s="31"/>
      <c r="G55" s="31"/>
    </row>
    <row r="56" spans="3:7" x14ac:dyDescent="0.2">
      <c r="C56" s="92">
        <f t="shared" si="2"/>
        <v>40</v>
      </c>
      <c r="D56" s="100">
        <f t="shared" si="3"/>
        <v>43239</v>
      </c>
      <c r="E56" s="31"/>
      <c r="F56" s="31"/>
      <c r="G56" s="31"/>
    </row>
    <row r="57" spans="3:7" x14ac:dyDescent="0.2">
      <c r="C57" s="92">
        <f t="shared" si="2"/>
        <v>41</v>
      </c>
      <c r="D57" s="100">
        <f t="shared" si="3"/>
        <v>43270</v>
      </c>
      <c r="E57" s="31"/>
      <c r="F57" s="31"/>
      <c r="G57" s="31"/>
    </row>
    <row r="58" spans="3:7" x14ac:dyDescent="0.2">
      <c r="C58" s="92">
        <f t="shared" si="2"/>
        <v>42</v>
      </c>
      <c r="D58" s="100">
        <f t="shared" si="3"/>
        <v>43300</v>
      </c>
      <c r="E58" s="31"/>
      <c r="F58" s="31"/>
      <c r="G58" s="31"/>
    </row>
    <row r="59" spans="3:7" x14ac:dyDescent="0.2">
      <c r="C59" s="92">
        <f t="shared" si="2"/>
        <v>43</v>
      </c>
      <c r="D59" s="100">
        <f t="shared" si="3"/>
        <v>43331</v>
      </c>
      <c r="E59" s="31"/>
      <c r="F59" s="31"/>
      <c r="G59" s="31"/>
    </row>
    <row r="60" spans="3:7" x14ac:dyDescent="0.2">
      <c r="C60" s="92">
        <f t="shared" si="2"/>
        <v>44</v>
      </c>
      <c r="D60" s="100">
        <f t="shared" si="3"/>
        <v>43362</v>
      </c>
      <c r="E60" s="31"/>
      <c r="F60" s="31"/>
      <c r="G60" s="31"/>
    </row>
    <row r="61" spans="3:7" x14ac:dyDescent="0.2">
      <c r="C61" s="92">
        <f t="shared" si="2"/>
        <v>45</v>
      </c>
      <c r="D61" s="100">
        <f t="shared" si="3"/>
        <v>43392</v>
      </c>
      <c r="E61" s="31"/>
      <c r="F61" s="31"/>
      <c r="G61" s="31"/>
    </row>
    <row r="62" spans="3:7" x14ac:dyDescent="0.2">
      <c r="C62" s="92">
        <f t="shared" si="2"/>
        <v>46</v>
      </c>
      <c r="D62" s="100">
        <f t="shared" si="3"/>
        <v>43423</v>
      </c>
      <c r="E62" s="31"/>
      <c r="F62" s="31"/>
      <c r="G62" s="31"/>
    </row>
    <row r="63" spans="3:7" x14ac:dyDescent="0.2">
      <c r="C63" s="92">
        <f t="shared" si="2"/>
        <v>47</v>
      </c>
      <c r="D63" s="100">
        <f t="shared" si="3"/>
        <v>43453</v>
      </c>
      <c r="E63" s="31"/>
      <c r="F63" s="31"/>
      <c r="G63" s="31"/>
    </row>
    <row r="64" spans="3:7" x14ac:dyDescent="0.2">
      <c r="C64" s="92">
        <f t="shared" si="2"/>
        <v>48</v>
      </c>
      <c r="D64" s="100">
        <f t="shared" si="3"/>
        <v>43484</v>
      </c>
      <c r="E64" s="31"/>
      <c r="F64" s="31"/>
      <c r="G64" s="31"/>
    </row>
    <row r="65" spans="3:7" x14ac:dyDescent="0.2">
      <c r="C65" s="92">
        <f t="shared" si="2"/>
        <v>49</v>
      </c>
      <c r="D65" s="100">
        <f t="shared" si="3"/>
        <v>43515</v>
      </c>
      <c r="E65" s="31"/>
      <c r="F65" s="31"/>
      <c r="G65" s="31"/>
    </row>
    <row r="66" spans="3:7" x14ac:dyDescent="0.2">
      <c r="C66" s="92">
        <f t="shared" si="2"/>
        <v>50</v>
      </c>
      <c r="D66" s="100">
        <f t="shared" si="3"/>
        <v>43543</v>
      </c>
      <c r="E66" s="31"/>
      <c r="F66" s="31"/>
      <c r="G66" s="31"/>
    </row>
    <row r="67" spans="3:7" x14ac:dyDescent="0.2">
      <c r="C67" s="92">
        <f t="shared" si="2"/>
        <v>51</v>
      </c>
      <c r="D67" s="100">
        <f t="shared" si="3"/>
        <v>43574</v>
      </c>
      <c r="E67" s="31"/>
      <c r="F67" s="31"/>
      <c r="G67" s="31"/>
    </row>
    <row r="68" spans="3:7" x14ac:dyDescent="0.2">
      <c r="C68" s="92">
        <f t="shared" si="2"/>
        <v>52</v>
      </c>
      <c r="D68" s="100">
        <f t="shared" si="3"/>
        <v>43604</v>
      </c>
      <c r="E68" s="31"/>
      <c r="F68" s="31"/>
      <c r="G68" s="31"/>
    </row>
    <row r="69" spans="3:7" x14ac:dyDescent="0.2">
      <c r="C69" s="92">
        <f t="shared" si="2"/>
        <v>53</v>
      </c>
      <c r="D69" s="100">
        <f t="shared" si="3"/>
        <v>43635</v>
      </c>
      <c r="E69" s="31"/>
      <c r="F69" s="31"/>
      <c r="G69" s="31"/>
    </row>
    <row r="70" spans="3:7" x14ac:dyDescent="0.2">
      <c r="C70" s="92">
        <f t="shared" si="2"/>
        <v>54</v>
      </c>
      <c r="D70" s="100">
        <f t="shared" si="3"/>
        <v>43665</v>
      </c>
      <c r="E70" s="31"/>
      <c r="F70" s="31"/>
      <c r="G70" s="31"/>
    </row>
    <row r="71" spans="3:7" x14ac:dyDescent="0.2">
      <c r="C71" s="92">
        <f t="shared" si="2"/>
        <v>55</v>
      </c>
      <c r="D71" s="100">
        <f t="shared" si="3"/>
        <v>43696</v>
      </c>
      <c r="E71" s="31"/>
      <c r="F71" s="31"/>
      <c r="G71" s="31"/>
    </row>
    <row r="72" spans="3:7" x14ac:dyDescent="0.2">
      <c r="C72" s="92">
        <f t="shared" si="2"/>
        <v>56</v>
      </c>
      <c r="D72" s="100">
        <f t="shared" si="3"/>
        <v>43727</v>
      </c>
      <c r="E72" s="31"/>
      <c r="F72" s="31"/>
      <c r="G72" s="31"/>
    </row>
    <row r="73" spans="3:7" x14ac:dyDescent="0.2">
      <c r="C73" s="92">
        <f t="shared" si="2"/>
        <v>57</v>
      </c>
      <c r="D73" s="100">
        <f t="shared" si="3"/>
        <v>43757</v>
      </c>
      <c r="E73" s="31"/>
      <c r="F73" s="31"/>
      <c r="G73" s="31"/>
    </row>
    <row r="74" spans="3:7" x14ac:dyDescent="0.2">
      <c r="C74" s="92">
        <f t="shared" si="2"/>
        <v>58</v>
      </c>
      <c r="D74" s="100">
        <f t="shared" si="3"/>
        <v>43788</v>
      </c>
      <c r="E74" s="31"/>
      <c r="F74" s="31"/>
      <c r="G74" s="31"/>
    </row>
    <row r="75" spans="3:7" x14ac:dyDescent="0.2">
      <c r="C75" s="92">
        <f t="shared" si="2"/>
        <v>59</v>
      </c>
      <c r="D75" s="100">
        <f t="shared" si="3"/>
        <v>43818</v>
      </c>
      <c r="E75" s="31"/>
      <c r="F75" s="31"/>
      <c r="G75" s="31"/>
    </row>
    <row r="76" spans="3:7" x14ac:dyDescent="0.2">
      <c r="C76" s="92">
        <f t="shared" si="2"/>
        <v>60</v>
      </c>
      <c r="D76" s="100">
        <f t="shared" si="3"/>
        <v>43849</v>
      </c>
      <c r="E76" s="31"/>
      <c r="F76" s="31"/>
      <c r="G76" s="31"/>
    </row>
    <row r="77" spans="3:7" x14ac:dyDescent="0.2">
      <c r="C77" s="92">
        <f t="shared" si="2"/>
        <v>61</v>
      </c>
      <c r="D77" s="100">
        <f t="shared" si="3"/>
        <v>43880</v>
      </c>
      <c r="E77" s="31"/>
      <c r="F77" s="31"/>
      <c r="G77" s="31"/>
    </row>
    <row r="78" spans="3:7" x14ac:dyDescent="0.2">
      <c r="C78" s="92">
        <f t="shared" si="2"/>
        <v>62</v>
      </c>
      <c r="D78" s="100">
        <f t="shared" si="3"/>
        <v>43909</v>
      </c>
      <c r="E78" s="31"/>
      <c r="F78" s="31"/>
      <c r="G78" s="31"/>
    </row>
    <row r="79" spans="3:7" x14ac:dyDescent="0.2">
      <c r="C79" s="92">
        <f t="shared" si="2"/>
        <v>63</v>
      </c>
      <c r="D79" s="100">
        <f t="shared" si="3"/>
        <v>43940</v>
      </c>
      <c r="E79" s="31"/>
      <c r="F79" s="31"/>
      <c r="G79" s="31"/>
    </row>
    <row r="80" spans="3:7" x14ac:dyDescent="0.2">
      <c r="C80" s="92">
        <f t="shared" si="2"/>
        <v>64</v>
      </c>
      <c r="D80" s="100">
        <f t="shared" si="3"/>
        <v>43970</v>
      </c>
      <c r="E80" s="31"/>
      <c r="F80" s="31"/>
      <c r="G80" s="31"/>
    </row>
    <row r="81" spans="3:7" x14ac:dyDescent="0.2">
      <c r="C81" s="92">
        <f t="shared" si="2"/>
        <v>65</v>
      </c>
      <c r="D81" s="100">
        <f t="shared" si="3"/>
        <v>44001</v>
      </c>
      <c r="E81" s="31"/>
      <c r="F81" s="31"/>
      <c r="G81" s="31"/>
    </row>
    <row r="82" spans="3:7" x14ac:dyDescent="0.2">
      <c r="C82" s="92">
        <f t="shared" ref="C82:C88" si="4">1+C81</f>
        <v>66</v>
      </c>
      <c r="D82" s="100">
        <f t="shared" ref="D82:D88" si="5">EDATE(D81,1)</f>
        <v>44031</v>
      </c>
      <c r="E82" s="31"/>
      <c r="F82" s="31"/>
      <c r="G82" s="31"/>
    </row>
    <row r="83" spans="3:7" x14ac:dyDescent="0.2">
      <c r="C83" s="92">
        <f t="shared" si="4"/>
        <v>67</v>
      </c>
      <c r="D83" s="100">
        <f t="shared" si="5"/>
        <v>44062</v>
      </c>
      <c r="E83" s="31"/>
      <c r="F83" s="31"/>
      <c r="G83" s="31"/>
    </row>
    <row r="84" spans="3:7" x14ac:dyDescent="0.2">
      <c r="C84" s="92">
        <f t="shared" si="4"/>
        <v>68</v>
      </c>
      <c r="D84" s="100">
        <f t="shared" si="5"/>
        <v>44093</v>
      </c>
      <c r="E84" s="31"/>
      <c r="F84" s="31"/>
      <c r="G84" s="31"/>
    </row>
    <row r="85" spans="3:7" x14ac:dyDescent="0.2">
      <c r="C85" s="92">
        <f t="shared" si="4"/>
        <v>69</v>
      </c>
      <c r="D85" s="100">
        <f t="shared" si="5"/>
        <v>44123</v>
      </c>
      <c r="E85" s="31"/>
      <c r="F85" s="31"/>
      <c r="G85" s="31"/>
    </row>
    <row r="86" spans="3:7" x14ac:dyDescent="0.2">
      <c r="C86" s="92">
        <f t="shared" si="4"/>
        <v>70</v>
      </c>
      <c r="D86" s="100">
        <f t="shared" si="5"/>
        <v>44154</v>
      </c>
      <c r="E86" s="31"/>
      <c r="F86" s="31"/>
      <c r="G86" s="31"/>
    </row>
    <row r="87" spans="3:7" x14ac:dyDescent="0.2">
      <c r="C87" s="92">
        <f t="shared" si="4"/>
        <v>71</v>
      </c>
      <c r="D87" s="100">
        <f t="shared" si="5"/>
        <v>44184</v>
      </c>
      <c r="E87" s="31"/>
      <c r="F87" s="31"/>
      <c r="G87" s="31"/>
    </row>
    <row r="88" spans="3:7" x14ac:dyDescent="0.2">
      <c r="C88" s="92">
        <f t="shared" si="4"/>
        <v>72</v>
      </c>
      <c r="D88" s="100">
        <f t="shared" si="5"/>
        <v>44215</v>
      </c>
      <c r="E88" s="31"/>
      <c r="F88" s="31"/>
      <c r="G88" s="31"/>
    </row>
  </sheetData>
  <mergeCells count="1">
    <mergeCell ref="B3:D3"/>
  </mergeCells>
  <hyperlinks>
    <hyperlink ref="A4" location="$B$5" tooltip="Go to Top of Sheet" display="$B$5"/>
    <hyperlink ref="B4" location="HL_Sheet_Main_8" tooltip="Go to Previous Sheet" display="HL_Sheet_Main_8"/>
    <hyperlink ref="C4" location="HL_Sheet_Main_12" tooltip="Go to Next Sheet" display="HL_Sheet_Main_12"/>
    <hyperlink ref="B3" location="HL_Home" tooltip="Go to Table of Contents" display="HL_Home"/>
  </hyperlinks>
  <pageMargins left="0.39370078740157499" right="0.39370078740157499" top="0.59055118110236204" bottom="0.98425196850393704" header="0" footer="0.31496062992126"/>
  <pageSetup paperSize="9" orientation="landscape" r:id="rId1"/>
  <headerFooter>
    <oddFooter>&amp;L&amp;F
&amp;A
Printed: &amp;T on &amp;D&amp;CPage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autoPageBreaks="0"/>
  </sheetPr>
  <dimension ref="A1:M60"/>
  <sheetViews>
    <sheetView showGridLines="0" zoomScaleNormal="100" workbookViewId="0">
      <pane xSplit="1" ySplit="4" topLeftCell="B5" activePane="bottomRight" state="frozen"/>
      <selection activeCell="B11" sqref="B11:P11"/>
      <selection pane="topRight" activeCell="B11" sqref="B11:P11"/>
      <selection pane="bottomLeft" activeCell="B11" sqref="B11:P11"/>
      <selection pane="bottomRight" activeCell="C28" sqref="C28"/>
    </sheetView>
  </sheetViews>
  <sheetFormatPr defaultColWidth="11.77734375" defaultRowHeight="10" x14ac:dyDescent="0.2"/>
  <cols>
    <col min="1" max="5" width="3.77734375" customWidth="1"/>
  </cols>
  <sheetData>
    <row r="1" spans="1:9" s="15" customFormat="1" ht="17.5" x14ac:dyDescent="0.2">
      <c r="B1" s="27" t="s">
        <v>87</v>
      </c>
    </row>
    <row r="2" spans="1:9" s="15" customFormat="1" ht="15" x14ac:dyDescent="0.2">
      <c r="B2" s="28" t="str">
        <f>Model_Name</f>
        <v>Precise Debt Modelling (Loan 1 - live case) (Alert in Loan 2 solution)</v>
      </c>
    </row>
    <row r="3" spans="1:9" x14ac:dyDescent="0.2">
      <c r="B3" s="230" t="s">
        <v>76</v>
      </c>
      <c r="C3" s="230"/>
      <c r="D3" s="230"/>
      <c r="E3" s="230"/>
      <c r="F3" s="230"/>
    </row>
    <row r="4" spans="1:9" ht="12.5" x14ac:dyDescent="0.2">
      <c r="A4" s="1" t="s">
        <v>79</v>
      </c>
      <c r="B4" s="2" t="s">
        <v>82</v>
      </c>
      <c r="C4" s="3"/>
      <c r="D4" s="8" t="s">
        <v>100</v>
      </c>
      <c r="E4" s="10" t="s">
        <v>101</v>
      </c>
    </row>
    <row r="7" spans="1:9" s="15" customFormat="1" ht="12.5" x14ac:dyDescent="0.2">
      <c r="B7" s="18" t="s">
        <v>89</v>
      </c>
    </row>
    <row r="8" spans="1:9" s="15" customFormat="1" x14ac:dyDescent="0.2"/>
    <row r="9" spans="1:9" s="15" customFormat="1" ht="17.25" customHeight="1" x14ac:dyDescent="0.2">
      <c r="C9" s="125" t="b">
        <v>1</v>
      </c>
    </row>
    <row r="10" spans="1:9" s="15" customFormat="1" x14ac:dyDescent="0.2"/>
    <row r="11" spans="1:9" s="15" customFormat="1" ht="11.5" x14ac:dyDescent="0.2">
      <c r="C11" s="32" t="s">
        <v>90</v>
      </c>
    </row>
    <row r="12" spans="1:9" s="15" customFormat="1" x14ac:dyDescent="0.2"/>
    <row r="13" spans="1:9" s="15" customFormat="1" x14ac:dyDescent="0.2">
      <c r="D13" s="126" t="str">
        <f>D23</f>
        <v>Total Errors:</v>
      </c>
      <c r="I13" s="127">
        <f>Err_Chks_Ttl_Areas</f>
        <v>0</v>
      </c>
    </row>
    <row r="14" spans="1:9" s="15" customFormat="1" x14ac:dyDescent="0.2">
      <c r="D14" s="128" t="s">
        <v>95</v>
      </c>
      <c r="I14" s="129" t="str">
        <f>IF(OR(NOT(CB_Err_Chks_Show_Msg),Err_Chks_Ttl_Areas=0),"",IF(Err_Chks_Ttl_Areas=1," (Error in "&amp;INDEX(CA_Err_Chks_Area_Names,MATCH(1,CA_Err_Chks_Flags,0))&amp;")"," ("&amp;TEXT(Err_Chks_Ttl_Areas,"#,##0")&amp;" Errors Detected)"))</f>
        <v/>
      </c>
    </row>
    <row r="15" spans="1:9" s="15" customFormat="1" x14ac:dyDescent="0.2"/>
    <row r="16" spans="1:9" s="15" customFormat="1" ht="11.5" x14ac:dyDescent="0.2">
      <c r="C16" s="32" t="s">
        <v>89</v>
      </c>
    </row>
    <row r="17" spans="2:13" s="15" customFormat="1" x14ac:dyDescent="0.2"/>
    <row r="18" spans="2:13" s="15" customFormat="1" x14ac:dyDescent="0.2">
      <c r="D18" s="130" t="s">
        <v>89</v>
      </c>
      <c r="E18" s="19"/>
      <c r="F18" s="19"/>
      <c r="G18" s="19"/>
      <c r="H18" s="19"/>
      <c r="I18" s="19"/>
      <c r="J18" s="19"/>
      <c r="K18" s="131" t="s">
        <v>91</v>
      </c>
      <c r="L18" s="131" t="s">
        <v>92</v>
      </c>
      <c r="M18" s="131" t="s">
        <v>93</v>
      </c>
    </row>
    <row r="19" spans="2:13" s="15" customFormat="1" x14ac:dyDescent="0.2">
      <c r="D19" s="132"/>
      <c r="E19" s="30"/>
      <c r="F19" s="30"/>
      <c r="G19" s="30"/>
      <c r="H19" s="30"/>
      <c r="I19" s="30"/>
      <c r="J19" s="30"/>
      <c r="K19" s="133"/>
      <c r="L19" s="133"/>
      <c r="M19" s="133"/>
    </row>
    <row r="20" spans="2:13" s="15" customFormat="1" x14ac:dyDescent="0.2">
      <c r="D20" s="107" t="str">
        <f>IF(ISERROR(Err_Chk_1_Hdg),"Miscellaneous Check",Err_Chk_1_Hdg)</f>
        <v>Goal seek check</v>
      </c>
      <c r="E20" s="134"/>
      <c r="F20" s="134"/>
      <c r="G20" s="134"/>
      <c r="H20" s="134"/>
      <c r="I20" s="134"/>
      <c r="J20" s="134"/>
      <c r="K20" s="135">
        <f>IF(ISERROR(HL_Err_Chk_1),1,(HL_Err_Chk_1&lt;&gt;0)*1)</f>
        <v>0</v>
      </c>
      <c r="L20" s="136" t="s">
        <v>121</v>
      </c>
      <c r="M20" s="137">
        <f>K20*(L20="Yes")</f>
        <v>0</v>
      </c>
    </row>
    <row r="21" spans="2:13" s="15" customFormat="1" x14ac:dyDescent="0.2">
      <c r="D21" s="107" t="str">
        <f>IF(ISERROR(Err_Chk_2_Hdg),"Miscellaneous Check",Err_Chk_2_Hdg)</f>
        <v>Goalseek to zero check</v>
      </c>
      <c r="E21" s="134"/>
      <c r="F21" s="134"/>
      <c r="G21" s="134"/>
      <c r="H21" s="134"/>
      <c r="I21" s="134"/>
      <c r="J21" s="134"/>
      <c r="K21" s="135">
        <f>IF(ISERROR(HL_Err_Chk_2),1,(HL_Err_Chk_2&lt;&gt;0)*1)</f>
        <v>0</v>
      </c>
      <c r="L21" s="136" t="s">
        <v>121</v>
      </c>
      <c r="M21" s="137">
        <f>K21*(L21="Yes")</f>
        <v>0</v>
      </c>
    </row>
    <row r="22" spans="2:13" s="15" customFormat="1" x14ac:dyDescent="0.2"/>
    <row r="23" spans="2:13" s="15" customFormat="1" x14ac:dyDescent="0.2">
      <c r="D23" s="17" t="s">
        <v>94</v>
      </c>
      <c r="M23" s="138">
        <f>SUMIF(CA_Err_Chks_Inc,"Yes",CA_Err_Chks_Flags)</f>
        <v>0</v>
      </c>
    </row>
    <row r="24" spans="2:13" s="15" customFormat="1" x14ac:dyDescent="0.2"/>
    <row r="25" spans="2:13" s="15" customFormat="1" x14ac:dyDescent="0.2"/>
    <row r="26" spans="2:13" s="15" customFormat="1" ht="12.5" x14ac:dyDescent="0.2">
      <c r="B26" s="139" t="s">
        <v>96</v>
      </c>
    </row>
    <row r="27" spans="2:13" s="15" customFormat="1" x14ac:dyDescent="0.2"/>
    <row r="28" spans="2:13" s="15" customFormat="1" ht="17.25" customHeight="1" x14ac:dyDescent="0.2">
      <c r="C28" s="125" t="b">
        <v>1</v>
      </c>
    </row>
    <row r="29" spans="2:13" s="15" customFormat="1" x14ac:dyDescent="0.2"/>
    <row r="30" spans="2:13" s="15" customFormat="1" ht="11.5" x14ac:dyDescent="0.2">
      <c r="C30" s="32" t="s">
        <v>97</v>
      </c>
    </row>
    <row r="31" spans="2:13" s="15" customFormat="1" x14ac:dyDescent="0.2"/>
    <row r="32" spans="2:13" s="15" customFormat="1" x14ac:dyDescent="0.2">
      <c r="D32" s="126" t="str">
        <f>D42</f>
        <v>Total Alerts:</v>
      </c>
      <c r="I32" s="127">
        <f>Alt_Chks_Ttl_Areas</f>
        <v>1</v>
      </c>
    </row>
    <row r="33" spans="3:13" s="15" customFormat="1" x14ac:dyDescent="0.2">
      <c r="D33" s="128" t="s">
        <v>99</v>
      </c>
      <c r="I33" s="129" t="str">
        <f>IF(OR(NOT(CB_Alt_Chks_Show_Msg),Alt_Chks_Ttl_Areas=0),"",IF(Alt_Chks_Ttl_Areas=1," (Alert in "&amp;INDEX(CA_Alt_Chks_Area_Names,MATCH(1,CA_Alt_Chks_Flags,0))&amp;")"," ("&amp;TEXT(Alt_Chks_Ttl_Areas,"#,##0")&amp;" Alerts Detected)"))</f>
        <v xml:space="preserve"> (Alert in Loan 2 solution)</v>
      </c>
    </row>
    <row r="34" spans="3:13" s="15" customFormat="1" x14ac:dyDescent="0.2"/>
    <row r="35" spans="3:13" s="15" customFormat="1" ht="11.5" x14ac:dyDescent="0.2">
      <c r="C35" s="32" t="s">
        <v>96</v>
      </c>
    </row>
    <row r="36" spans="3:13" s="15" customFormat="1" x14ac:dyDescent="0.2"/>
    <row r="37" spans="3:13" s="15" customFormat="1" x14ac:dyDescent="0.2">
      <c r="D37" s="130" t="s">
        <v>96</v>
      </c>
      <c r="E37" s="19"/>
      <c r="F37" s="19"/>
      <c r="G37" s="19"/>
      <c r="H37" s="19"/>
      <c r="I37" s="19"/>
      <c r="J37" s="19"/>
      <c r="K37" s="131" t="s">
        <v>91</v>
      </c>
      <c r="L37" s="131" t="s">
        <v>92</v>
      </c>
      <c r="M37" s="131" t="s">
        <v>93</v>
      </c>
    </row>
    <row r="38" spans="3:13" s="15" customFormat="1" x14ac:dyDescent="0.2">
      <c r="D38" s="132"/>
      <c r="E38" s="30"/>
      <c r="F38" s="30"/>
      <c r="G38" s="30"/>
      <c r="H38" s="30"/>
      <c r="I38" s="30"/>
      <c r="J38" s="30"/>
      <c r="K38" s="133"/>
      <c r="L38" s="133"/>
      <c r="M38" s="133"/>
    </row>
    <row r="39" spans="3:13" s="15" customFormat="1" x14ac:dyDescent="0.2">
      <c r="D39" s="107" t="str">
        <f>IF(ISERROR(Alt_Chk_1_Hdg),"Miscellaneous Check",Alt_Chk_1_Hdg)</f>
        <v>Loan 1 solution</v>
      </c>
      <c r="E39" s="134"/>
      <c r="F39" s="134"/>
      <c r="G39" s="134"/>
      <c r="H39" s="134"/>
      <c r="I39" s="134"/>
      <c r="J39" s="134"/>
      <c r="K39" s="135">
        <f>IF(ISERROR(HL_Alt_Chk_1),1,(HL_Alt_Chk_1&lt;&gt;0)*1)</f>
        <v>0</v>
      </c>
      <c r="L39" s="136" t="s">
        <v>121</v>
      </c>
      <c r="M39" s="137">
        <f>K39*(L39="Yes")</f>
        <v>0</v>
      </c>
    </row>
    <row r="40" spans="3:13" s="15" customFormat="1" x14ac:dyDescent="0.2">
      <c r="D40" s="107" t="str">
        <f>IF(ISERROR(Alt_Chk_2_Hdg),"Miscellaneous Check",Alt_Chk_2_Hdg)</f>
        <v>Loan 2 solution</v>
      </c>
      <c r="E40" s="134"/>
      <c r="F40" s="134"/>
      <c r="G40" s="134"/>
      <c r="H40" s="134"/>
      <c r="I40" s="134"/>
      <c r="J40" s="134"/>
      <c r="K40" s="135">
        <f>IF(ISERROR(HL_Alt_Chk_2),1,(HL_Alt_Chk_2&lt;&gt;0)*1)</f>
        <v>1</v>
      </c>
      <c r="L40" s="136" t="s">
        <v>121</v>
      </c>
      <c r="M40" s="137">
        <f>K40*(L40="Yes")</f>
        <v>1</v>
      </c>
    </row>
    <row r="41" spans="3:13" s="15" customFormat="1" x14ac:dyDescent="0.2"/>
    <row r="42" spans="3:13" s="15" customFormat="1" x14ac:dyDescent="0.2">
      <c r="D42" s="17" t="s">
        <v>98</v>
      </c>
      <c r="M42" s="138">
        <f>SUMIF(CA_Alt_Chks_Inc,"Yes",CA_Alt_Chks_Flags)</f>
        <v>1</v>
      </c>
    </row>
    <row r="43" spans="3:13" s="15" customFormat="1" x14ac:dyDescent="0.2"/>
    <row r="44" spans="3:13" s="15" customFormat="1" x14ac:dyDescent="0.2"/>
    <row r="45" spans="3:13" s="15" customFormat="1" x14ac:dyDescent="0.2"/>
    <row r="46" spans="3:13" s="15" customFormat="1" x14ac:dyDescent="0.2"/>
    <row r="47" spans="3:13" s="15" customFormat="1" x14ac:dyDescent="0.2"/>
    <row r="48" spans="3:13" s="15" customFormat="1" x14ac:dyDescent="0.2"/>
    <row r="49" s="15" customFormat="1" x14ac:dyDescent="0.2"/>
    <row r="50" s="15" customFormat="1" x14ac:dyDescent="0.2"/>
    <row r="51" s="15" customFormat="1" x14ac:dyDescent="0.2"/>
    <row r="52" s="15" customFormat="1" x14ac:dyDescent="0.2"/>
    <row r="53" s="15" customFormat="1" x14ac:dyDescent="0.2"/>
    <row r="54" s="15" customFormat="1" x14ac:dyDescent="0.2"/>
    <row r="55" s="15" customFormat="1" x14ac:dyDescent="0.2"/>
    <row r="56" s="15" customFormat="1" x14ac:dyDescent="0.2"/>
    <row r="57" s="15" customFormat="1" x14ac:dyDescent="0.2"/>
    <row r="58" s="15" customFormat="1" x14ac:dyDescent="0.2"/>
    <row r="59" s="15" customFormat="1" x14ac:dyDescent="0.2"/>
    <row r="60" s="15" customFormat="1" x14ac:dyDescent="0.2"/>
  </sheetData>
  <mergeCells count="1">
    <mergeCell ref="B3:F3"/>
  </mergeCells>
  <conditionalFormatting sqref="M23">
    <cfRule type="cellIs" dxfId="19" priority="1" stopIfTrue="1" operator="notEqual">
      <formula>0</formula>
    </cfRule>
  </conditionalFormatting>
  <conditionalFormatting sqref="I13">
    <cfRule type="cellIs" dxfId="18" priority="2" stopIfTrue="1" operator="notEqual">
      <formula>0</formula>
    </cfRule>
  </conditionalFormatting>
  <conditionalFormatting sqref="M42">
    <cfRule type="cellIs" dxfId="17" priority="5" stopIfTrue="1" operator="notEqual">
      <formula>0</formula>
    </cfRule>
  </conditionalFormatting>
  <conditionalFormatting sqref="I32">
    <cfRule type="cellIs" dxfId="16" priority="6" stopIfTrue="1" operator="notEqual">
      <formula>0</formula>
    </cfRule>
  </conditionalFormatting>
  <conditionalFormatting sqref="K20">
    <cfRule type="cellIs" dxfId="15" priority="8" stopIfTrue="1" operator="notEqual">
      <formula>0</formula>
    </cfRule>
  </conditionalFormatting>
  <conditionalFormatting sqref="D20">
    <cfRule type="expression" dxfId="14" priority="7" stopIfTrue="1">
      <formula>K20&lt;&gt;0</formula>
    </cfRule>
  </conditionalFormatting>
  <conditionalFormatting sqref="L20">
    <cfRule type="expression" dxfId="13" priority="9" stopIfTrue="1">
      <formula>K20&lt;&gt;0</formula>
    </cfRule>
  </conditionalFormatting>
  <conditionalFormatting sqref="M20">
    <cfRule type="expression" dxfId="12" priority="10" stopIfTrue="1">
      <formula>K20&lt;&gt;0</formula>
    </cfRule>
  </conditionalFormatting>
  <conditionalFormatting sqref="D21">
    <cfRule type="expression" dxfId="11" priority="11" stopIfTrue="1">
      <formula>K21&lt;&gt;0</formula>
    </cfRule>
  </conditionalFormatting>
  <conditionalFormatting sqref="K21">
    <cfRule type="cellIs" dxfId="10" priority="12" stopIfTrue="1" operator="notEqual">
      <formula>0</formula>
    </cfRule>
  </conditionalFormatting>
  <conditionalFormatting sqref="L21">
    <cfRule type="expression" dxfId="9" priority="13" stopIfTrue="1">
      <formula>K21&lt;&gt;0</formula>
    </cfRule>
  </conditionalFormatting>
  <conditionalFormatting sqref="M21">
    <cfRule type="expression" dxfId="8" priority="14" stopIfTrue="1">
      <formula>K21&lt;&gt;0</formula>
    </cfRule>
  </conditionalFormatting>
  <conditionalFormatting sqref="D39">
    <cfRule type="expression" dxfId="7" priority="15" stopIfTrue="1">
      <formula>K39&lt;&gt;0</formula>
    </cfRule>
  </conditionalFormatting>
  <conditionalFormatting sqref="K39">
    <cfRule type="cellIs" dxfId="6" priority="16" stopIfTrue="1" operator="notEqual">
      <formula>0</formula>
    </cfRule>
  </conditionalFormatting>
  <conditionalFormatting sqref="L39">
    <cfRule type="expression" dxfId="5" priority="17" stopIfTrue="1">
      <formula>K39&lt;&gt;0</formula>
    </cfRule>
  </conditionalFormatting>
  <conditionalFormatting sqref="M39">
    <cfRule type="expression" dxfId="4" priority="18" stopIfTrue="1">
      <formula>K39&lt;&gt;0</formula>
    </cfRule>
  </conditionalFormatting>
  <conditionalFormatting sqref="D40">
    <cfRule type="expression" dxfId="3" priority="19" stopIfTrue="1">
      <formula>K40&lt;&gt;0</formula>
    </cfRule>
  </conditionalFormatting>
  <conditionalFormatting sqref="K40">
    <cfRule type="cellIs" dxfId="2" priority="20" stopIfTrue="1" operator="notEqual">
      <formula>0</formula>
    </cfRule>
  </conditionalFormatting>
  <conditionalFormatting sqref="L40">
    <cfRule type="expression" dxfId="1" priority="21" stopIfTrue="1">
      <formula>K40&lt;&gt;0</formula>
    </cfRule>
  </conditionalFormatting>
  <conditionalFormatting sqref="M40">
    <cfRule type="expression" dxfId="0" priority="22" stopIfTrue="1">
      <formula>K40&lt;&gt;0</formula>
    </cfRule>
  </conditionalFormatting>
  <dataValidations count="3">
    <dataValidation type="custom" showDropDown="1" showErrorMessage="1" errorTitle="Check Box Cell Link" error="The value in an option button cell link must be either &quot;TRUE&quot; or &quot;FALSE&quot;" sqref="C9 C28">
      <formula1>ISLOGICAL(C9)</formula1>
    </dataValidation>
    <dataValidation type="list" showErrorMessage="1" errorTitle="Include Error Check" error="The include error check trigger must correspond with one of the options provided in the drop down list." sqref="L20:L21">
      <formula1>"Yes,No"</formula1>
    </dataValidation>
    <dataValidation type="list" showErrorMessage="1" errorTitle="Include Alert Check" error="The include alert check trigger must correspond with one of the options provided in the drop down list." sqref="L39:L40">
      <formula1>"Yes,No"</formula1>
    </dataValidation>
  </dataValidations>
  <hyperlinks>
    <hyperlink ref="A4" location="$B$5" tooltip="Go to Top of Sheet" display="$B$5"/>
    <hyperlink ref="D20:J20" location="HL_Err_Chk_1" tooltip="Go to Goal seek check" display="HL_Err_Chk_1"/>
    <hyperlink ref="D21:J21" location="HL_Err_Chk_2" tooltip="Go to Goalseek to zero check" display="HL_Err_Chk_2"/>
    <hyperlink ref="D39:J39" location="HL_Alt_Chk_1" tooltip="Go to Loan 1 solution" display="HL_Alt_Chk_1"/>
    <hyperlink ref="D40:J40" location="HL_Alt_Chk_2" tooltip="Go to Loan 2 solution" display="HL_Alt_Chk_2"/>
    <hyperlink ref="B4" location="HL_Sheet_Main_10" tooltip="Go to Previous Sheet" display="HL_Sheet_Main_10"/>
    <hyperlink ref="B3" location="HL_Home" tooltip="Go to Table of Contents" display="HL_Home"/>
    <hyperlink ref="D4" location="HL_Err_Chk" tooltip="Go to Error Checks" display="HL_Err_Chk"/>
    <hyperlink ref="E4" location="HL_Alt_Chk" tooltip="Go to Alert Checks" display="HL_Alt_Chk"/>
  </hyperlinks>
  <pageMargins left="0.39370078740157499" right="0.39370078740157499" top="0.59055118110236204" bottom="0.98425196850393704" header="0" footer="0.31496062992126"/>
  <pageSetup paperSize="9" orientation="landscape" r:id="rId1"/>
  <headerFooter>
    <oddFooter>&amp;L&amp;F
&amp;A
Printed: &amp;T on &amp;D&amp;CPage &amp;P of &amp;N</oddFooter>
  </headerFooter>
  <rowBreaks count="1" manualBreakCount="1">
    <brk id="25" min="1" max="1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B_Err_Chks_Show_Msg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CB_Alt_Chks_Show_Msg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59</vt:i4>
      </vt:variant>
    </vt:vector>
  </HeadingPairs>
  <TitlesOfParts>
    <vt:vector size="71" baseType="lpstr">
      <vt:lpstr>Cover</vt:lpstr>
      <vt:lpstr>Contents</vt:lpstr>
      <vt:lpstr>Assumptions_SC</vt:lpstr>
      <vt:lpstr>Key_Assumptions_BA</vt:lpstr>
      <vt:lpstr>Calcs_TA</vt:lpstr>
      <vt:lpstr>Outputs_SC</vt:lpstr>
      <vt:lpstr>Outputs_TO</vt:lpstr>
      <vt:lpstr>Dashboard_P_MS</vt:lpstr>
      <vt:lpstr>Qn_Sol_BO</vt:lpstr>
      <vt:lpstr>Appendices_SC</vt:lpstr>
      <vt:lpstr>TS_LU</vt:lpstr>
      <vt:lpstr>Checks_BO</vt:lpstr>
      <vt:lpstr>Alt_Chks_Msg</vt:lpstr>
      <vt:lpstr>Alt_Chks_Ttl_Areas</vt:lpstr>
      <vt:lpstr>bal_diff</vt:lpstr>
      <vt:lpstr>CA_Alt_Chks</vt:lpstr>
      <vt:lpstr>CA_Alt_Chks_Area_Names</vt:lpstr>
      <vt:lpstr>CA_Alt_Chks_Flags</vt:lpstr>
      <vt:lpstr>CA_Alt_Chks_Inc</vt:lpstr>
      <vt:lpstr>CA_Err_Chks</vt:lpstr>
      <vt:lpstr>CA_Err_Chks_Area_Names</vt:lpstr>
      <vt:lpstr>CA_Err_Chks_Flags</vt:lpstr>
      <vt:lpstr>CA_Err_Chks_Inc</vt:lpstr>
      <vt:lpstr>CA_holidays</vt:lpstr>
      <vt:lpstr>CB_Alt_Chks_Show_Msg</vt:lpstr>
      <vt:lpstr>CB_Err_Chks_Show_Msg</vt:lpstr>
      <vt:lpstr>current_bal</vt:lpstr>
      <vt:lpstr>days_in_yr</vt:lpstr>
      <vt:lpstr>DD_Loan_Profile</vt:lpstr>
      <vt:lpstr>DD_selection</vt:lpstr>
      <vt:lpstr>Err_Chks_Msg</vt:lpstr>
      <vt:lpstr>Err_Chks_Ttl_Areas</vt:lpstr>
      <vt:lpstr>HL_Alt_Chk</vt:lpstr>
      <vt:lpstr>HL_Dashboard</vt:lpstr>
      <vt:lpstr>HL_Err_Chk</vt:lpstr>
      <vt:lpstr>HL_Home</vt:lpstr>
      <vt:lpstr>HL_link_assumptions</vt:lpstr>
      <vt:lpstr>HL_Link_outputs</vt:lpstr>
      <vt:lpstr>HL_Loan_selection</vt:lpstr>
      <vt:lpstr>HL_Select</vt:lpstr>
      <vt:lpstr>holidays</vt:lpstr>
      <vt:lpstr>int</vt:lpstr>
      <vt:lpstr>int_rate</vt:lpstr>
      <vt:lpstr>LU_loan_selection</vt:lpstr>
      <vt:lpstr>LU_month_selection</vt:lpstr>
      <vt:lpstr>Model_Name</vt:lpstr>
      <vt:lpstr>month_selection</vt:lpstr>
      <vt:lpstr>mths_in_year</vt:lpstr>
      <vt:lpstr>pmt</vt:lpstr>
      <vt:lpstr>pmt_gseek</vt:lpstr>
      <vt:lpstr>Appendices_SC!Print_Area</vt:lpstr>
      <vt:lpstr>Assumptions_SC!Print_Area</vt:lpstr>
      <vt:lpstr>Calcs_TA!Print_Area</vt:lpstr>
      <vt:lpstr>Checks_BO!Print_Area</vt:lpstr>
      <vt:lpstr>Contents!Print_Area</vt:lpstr>
      <vt:lpstr>Cover!Print_Area</vt:lpstr>
      <vt:lpstr>Dashboard_P_MS!Print_Area</vt:lpstr>
      <vt:lpstr>Key_Assumptions_BA!Print_Area</vt:lpstr>
      <vt:lpstr>Outputs_SC!Print_Area</vt:lpstr>
      <vt:lpstr>Outputs_TO!Print_Area</vt:lpstr>
      <vt:lpstr>Qn_Sol_BO!Print_Area</vt:lpstr>
      <vt:lpstr>TS_LU!Print_Area</vt:lpstr>
      <vt:lpstr>Calcs_TA!Print_Titles</vt:lpstr>
      <vt:lpstr>Checks_BO!Print_Titles</vt:lpstr>
      <vt:lpstr>Contents!Print_Titles</vt:lpstr>
      <vt:lpstr>Key_Assumptions_BA!Print_Titles</vt:lpstr>
      <vt:lpstr>Outputs_TO!Print_Titles</vt:lpstr>
      <vt:lpstr>Qn_Sol_BO!Print_Titles</vt:lpstr>
      <vt:lpstr>TS_LU!Print_Titles</vt:lpstr>
      <vt:lpstr>target_bal</vt:lpstr>
      <vt:lpstr>term</vt:lpstr>
    </vt:vector>
  </TitlesOfParts>
  <Company>National Australia 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Rubin</dc:creator>
  <cp:lastModifiedBy>Lance Rubin</cp:lastModifiedBy>
  <dcterms:created xsi:type="dcterms:W3CDTF">2015-09-21T01:30:45Z</dcterms:created>
  <dcterms:modified xsi:type="dcterms:W3CDTF">2016-06-01T10:11:27Z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XRCK">
    <vt:lpwstr>53|11757824,1|0,52|6780672,51|4204747,49|6697881,55|7929855,11|12632256,56|16777215</vt:lpwstr>
  </property>
  <property fmtid="{D5CDD505-2E9C-101B-9397-08002B2CF9AE}" pid="3" name="TBXBSCK">
    <vt:lpwstr>CO-4142|-4142/COC-4142|-4142/CS1-4142|-4142/S1S2-4142|-4142/S2BAR6|-4142/BATAR6|-4142/TABO-4142|-4142/BOTO-4142|-4142/TOLU-4142|-4142/LUMS-4142|-4142/MSCH-4142|-4142/CH</vt:lpwstr>
  </property>
</Properties>
</file>