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240" windowWidth="18510" windowHeight="8055"/>
  </bookViews>
  <sheets>
    <sheet name="Important" sheetId="7" r:id="rId1"/>
    <sheet name="Answer" sheetId="5" r:id="rId2"/>
    <sheet name="Known" sheetId="2" state="veryHidden" r:id="rId3"/>
    <sheet name="Mark" sheetId="6" r:id="rId4"/>
  </sheets>
  <functionGroups builtInGroupCount="17"/>
  <definedNames>
    <definedName name="_xlnm._FilterDatabase" localSheetId="2" hidden="1">Known!$A$4:$AT$71</definedName>
    <definedName name="Hand1">Answer!$D$5:$H$5</definedName>
    <definedName name="Hand1_Data">Known!$B$5:$F$150</definedName>
    <definedName name="Hand2">Answer!$P$5:$T$5</definedName>
    <definedName name="Hand2_Data">Known!$O$5:$S$150</definedName>
    <definedName name="MarkGrid">Mark!$A$5:$D$15</definedName>
    <definedName name="MarkGrid_Master">Known!$AP$5:$AS$15</definedName>
    <definedName name="Score1">Answer!$M$27</definedName>
    <definedName name="Score1_Data">Known!$K$5:$K$150</definedName>
    <definedName name="Score2">Answer!$Y$27</definedName>
    <definedName name="Score2_Data">Known!$L$5:$L$150</definedName>
    <definedName name="StrongestHand">Answer!$Y$29</definedName>
    <definedName name="StrongestHand_Data">Known!$I$5:$I$150</definedName>
    <definedName name="StrongestHand_Result">Known!$U$5:$U$150</definedName>
    <definedName name="Winner">Answer!$M$29</definedName>
    <definedName name="Winner_Data">Known!$J$5:$J$150</definedName>
    <definedName name="Winner_Result">Known!$V$5:$V$150</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9" i="2" l="1"/>
  <c r="J79" i="2"/>
  <c r="K79" i="2"/>
  <c r="L79" i="2"/>
  <c r="I80" i="2"/>
  <c r="J80" i="2"/>
  <c r="K80" i="2"/>
  <c r="L80" i="2"/>
  <c r="I81" i="2"/>
  <c r="J81" i="2"/>
  <c r="K81" i="2"/>
  <c r="L81" i="2"/>
  <c r="I82" i="2"/>
  <c r="J82" i="2"/>
  <c r="K82" i="2"/>
  <c r="L82" i="2"/>
  <c r="I83" i="2"/>
  <c r="J83" i="2"/>
  <c r="K83" i="2"/>
  <c r="L83" i="2"/>
  <c r="I84" i="2"/>
  <c r="J84" i="2"/>
  <c r="K84" i="2"/>
  <c r="L84" i="2"/>
  <c r="I85" i="2"/>
  <c r="J85" i="2"/>
  <c r="K85" i="2"/>
  <c r="L85" i="2"/>
  <c r="I86" i="2"/>
  <c r="J86" i="2"/>
  <c r="K86" i="2"/>
  <c r="L86" i="2"/>
  <c r="I87" i="2"/>
  <c r="J87" i="2"/>
  <c r="K87" i="2"/>
  <c r="L87" i="2"/>
  <c r="I88" i="2"/>
  <c r="J88" i="2"/>
  <c r="K88" i="2"/>
  <c r="L88" i="2"/>
  <c r="I89" i="2"/>
  <c r="J89" i="2"/>
  <c r="K89" i="2"/>
  <c r="L89" i="2"/>
  <c r="I90" i="2"/>
  <c r="J90" i="2"/>
  <c r="K90" i="2"/>
  <c r="L90" i="2"/>
  <c r="I91" i="2"/>
  <c r="J91" i="2"/>
  <c r="K91" i="2"/>
  <c r="L91" i="2"/>
  <c r="I92" i="2"/>
  <c r="J92" i="2"/>
  <c r="K92" i="2"/>
  <c r="L92" i="2"/>
  <c r="I93" i="2"/>
  <c r="J93" i="2"/>
  <c r="K93" i="2"/>
  <c r="L93" i="2"/>
  <c r="I94" i="2"/>
  <c r="J94" i="2"/>
  <c r="K94" i="2"/>
  <c r="L94" i="2"/>
  <c r="I95" i="2"/>
  <c r="J95" i="2"/>
  <c r="K95" i="2"/>
  <c r="L95" i="2"/>
  <c r="I96" i="2"/>
  <c r="J96" i="2"/>
  <c r="K96" i="2"/>
  <c r="L96" i="2"/>
  <c r="I97" i="2"/>
  <c r="J97" i="2"/>
  <c r="K97" i="2"/>
  <c r="L97" i="2"/>
  <c r="I98" i="2"/>
  <c r="J98" i="2"/>
  <c r="K98" i="2"/>
  <c r="L98" i="2"/>
  <c r="I99" i="2"/>
  <c r="J99" i="2"/>
  <c r="K99" i="2"/>
  <c r="L99" i="2"/>
  <c r="I100" i="2"/>
  <c r="J100" i="2"/>
  <c r="K100" i="2"/>
  <c r="L100" i="2"/>
  <c r="I101" i="2"/>
  <c r="J101" i="2"/>
  <c r="K101" i="2"/>
  <c r="L101" i="2"/>
  <c r="I102" i="2"/>
  <c r="J102" i="2"/>
  <c r="K102" i="2"/>
  <c r="L102" i="2"/>
  <c r="I103" i="2"/>
  <c r="J103" i="2"/>
  <c r="K103" i="2"/>
  <c r="L103" i="2"/>
  <c r="I104" i="2"/>
  <c r="J104" i="2"/>
  <c r="K104" i="2"/>
  <c r="L104" i="2"/>
  <c r="I105" i="2"/>
  <c r="J105" i="2"/>
  <c r="K105" i="2"/>
  <c r="L105" i="2"/>
  <c r="I106" i="2"/>
  <c r="J106" i="2"/>
  <c r="K106" i="2"/>
  <c r="L106" i="2"/>
  <c r="I107" i="2"/>
  <c r="J107" i="2"/>
  <c r="K107" i="2"/>
  <c r="L107" i="2"/>
  <c r="I108" i="2"/>
  <c r="J108" i="2"/>
  <c r="K108" i="2"/>
  <c r="L108" i="2"/>
  <c r="I109" i="2"/>
  <c r="J109" i="2"/>
  <c r="K109" i="2"/>
  <c r="L109" i="2"/>
  <c r="I110" i="2"/>
  <c r="J110" i="2"/>
  <c r="K110" i="2"/>
  <c r="L110" i="2"/>
  <c r="I111" i="2"/>
  <c r="J111" i="2"/>
  <c r="K111" i="2"/>
  <c r="L111" i="2"/>
  <c r="I112" i="2"/>
  <c r="J112" i="2"/>
  <c r="K112" i="2"/>
  <c r="L112" i="2"/>
  <c r="I113" i="2"/>
  <c r="J113" i="2"/>
  <c r="K113" i="2"/>
  <c r="L113" i="2"/>
  <c r="I114" i="2"/>
  <c r="J114" i="2"/>
  <c r="K114" i="2"/>
  <c r="L114" i="2"/>
  <c r="I115" i="2"/>
  <c r="J115" i="2"/>
  <c r="K115" i="2"/>
  <c r="L115" i="2"/>
  <c r="I116" i="2"/>
  <c r="J116" i="2"/>
  <c r="K116" i="2"/>
  <c r="L116" i="2"/>
  <c r="I117" i="2"/>
  <c r="J117" i="2"/>
  <c r="K117" i="2"/>
  <c r="L117" i="2"/>
  <c r="I118" i="2"/>
  <c r="J118" i="2"/>
  <c r="K118" i="2"/>
  <c r="L118" i="2"/>
  <c r="I119" i="2"/>
  <c r="J119" i="2"/>
  <c r="K119" i="2"/>
  <c r="L119" i="2"/>
  <c r="I120" i="2"/>
  <c r="J120" i="2"/>
  <c r="K120" i="2"/>
  <c r="L120" i="2"/>
  <c r="I121" i="2"/>
  <c r="J121" i="2"/>
  <c r="K121" i="2"/>
  <c r="L121" i="2"/>
  <c r="I122" i="2"/>
  <c r="J122" i="2"/>
  <c r="K122" i="2"/>
  <c r="L122" i="2"/>
  <c r="I123" i="2"/>
  <c r="J123" i="2"/>
  <c r="K123" i="2"/>
  <c r="L123" i="2"/>
  <c r="I124" i="2"/>
  <c r="J124" i="2"/>
  <c r="K124" i="2"/>
  <c r="L124" i="2"/>
  <c r="I125" i="2"/>
  <c r="J125" i="2"/>
  <c r="K125" i="2"/>
  <c r="L125" i="2"/>
  <c r="I126" i="2"/>
  <c r="J126" i="2"/>
  <c r="K126" i="2"/>
  <c r="L126" i="2"/>
  <c r="I127" i="2"/>
  <c r="J127" i="2"/>
  <c r="K127" i="2"/>
  <c r="L127" i="2"/>
  <c r="I128" i="2"/>
  <c r="J128" i="2"/>
  <c r="K128" i="2"/>
  <c r="L128" i="2"/>
  <c r="I129" i="2"/>
  <c r="J129" i="2"/>
  <c r="K129" i="2"/>
  <c r="L129" i="2"/>
  <c r="I130" i="2"/>
  <c r="J130" i="2"/>
  <c r="K130" i="2"/>
  <c r="L130" i="2"/>
  <c r="I131" i="2"/>
  <c r="J131" i="2"/>
  <c r="K131" i="2"/>
  <c r="L131" i="2"/>
  <c r="I132" i="2"/>
  <c r="J132" i="2"/>
  <c r="K132" i="2"/>
  <c r="L132" i="2"/>
  <c r="I133" i="2"/>
  <c r="J133" i="2"/>
  <c r="K133" i="2"/>
  <c r="L133" i="2"/>
  <c r="I134" i="2"/>
  <c r="J134" i="2"/>
  <c r="K134" i="2"/>
  <c r="L134" i="2"/>
  <c r="I135" i="2"/>
  <c r="J135" i="2"/>
  <c r="K135" i="2"/>
  <c r="L135" i="2"/>
  <c r="I136" i="2"/>
  <c r="J136" i="2"/>
  <c r="K136" i="2"/>
  <c r="L136" i="2"/>
  <c r="I137" i="2"/>
  <c r="J137" i="2"/>
  <c r="K137" i="2"/>
  <c r="L137" i="2"/>
  <c r="I138" i="2"/>
  <c r="J138" i="2"/>
  <c r="K138" i="2"/>
  <c r="L138" i="2"/>
  <c r="I139" i="2"/>
  <c r="J139" i="2"/>
  <c r="K139" i="2"/>
  <c r="L139" i="2"/>
  <c r="I140" i="2"/>
  <c r="J140" i="2"/>
  <c r="K140" i="2"/>
  <c r="L140" i="2"/>
  <c r="I141" i="2"/>
  <c r="J141" i="2"/>
  <c r="K141" i="2"/>
  <c r="L141" i="2"/>
  <c r="I142" i="2"/>
  <c r="J142" i="2"/>
  <c r="K142" i="2"/>
  <c r="L142" i="2"/>
  <c r="I143" i="2"/>
  <c r="J143" i="2"/>
  <c r="K143" i="2"/>
  <c r="L143" i="2"/>
  <c r="I144" i="2"/>
  <c r="J144" i="2"/>
  <c r="K144" i="2"/>
  <c r="L144" i="2"/>
  <c r="I145" i="2"/>
  <c r="J145" i="2"/>
  <c r="K145" i="2"/>
  <c r="L145" i="2"/>
  <c r="I146" i="2"/>
  <c r="J146" i="2"/>
  <c r="K146" i="2"/>
  <c r="L146" i="2"/>
  <c r="I147" i="2"/>
  <c r="J147" i="2"/>
  <c r="K147" i="2"/>
  <c r="L147" i="2"/>
  <c r="I148" i="2"/>
  <c r="J148" i="2"/>
  <c r="K148" i="2"/>
  <c r="L148" i="2"/>
  <c r="I149" i="2"/>
  <c r="J149" i="2"/>
  <c r="K149" i="2"/>
  <c r="L149" i="2"/>
  <c r="I150" i="2"/>
  <c r="J150" i="2"/>
  <c r="K150" i="2"/>
  <c r="L150" i="2"/>
  <c r="M79" i="2" l="1"/>
  <c r="M80" i="2"/>
  <c r="M81" i="2"/>
  <c r="AA81" i="2" s="1"/>
  <c r="M82" i="2"/>
  <c r="AA82" i="2" s="1"/>
  <c r="M83" i="2"/>
  <c r="AA83" i="2" s="1"/>
  <c r="M84" i="2"/>
  <c r="M85" i="2"/>
  <c r="M86" i="2"/>
  <c r="AA86" i="2" s="1"/>
  <c r="M87" i="2"/>
  <c r="AA87" i="2" s="1"/>
  <c r="M88" i="2"/>
  <c r="M89" i="2"/>
  <c r="AA89" i="2" s="1"/>
  <c r="M90" i="2"/>
  <c r="AA90" i="2" s="1"/>
  <c r="M91" i="2"/>
  <c r="AA91" i="2" s="1"/>
  <c r="M92" i="2"/>
  <c r="M93" i="2"/>
  <c r="AA93" i="2" s="1"/>
  <c r="M94" i="2"/>
  <c r="AA94" i="2" s="1"/>
  <c r="M95" i="2"/>
  <c r="AA95" i="2" s="1"/>
  <c r="M96" i="2"/>
  <c r="M97" i="2"/>
  <c r="AA97" i="2" s="1"/>
  <c r="M98" i="2"/>
  <c r="AA98" i="2" s="1"/>
  <c r="M99" i="2"/>
  <c r="M100" i="2"/>
  <c r="M101" i="2"/>
  <c r="AA101" i="2" s="1"/>
  <c r="M102" i="2"/>
  <c r="AA102" i="2" s="1"/>
  <c r="M103" i="2"/>
  <c r="AA103" i="2" s="1"/>
  <c r="M104" i="2"/>
  <c r="M105" i="2"/>
  <c r="AA105" i="2" s="1"/>
  <c r="M106" i="2"/>
  <c r="AA106" i="2" s="1"/>
  <c r="M107" i="2"/>
  <c r="AA107" i="2" s="1"/>
  <c r="M108" i="2"/>
  <c r="M109" i="2"/>
  <c r="AA109" i="2" s="1"/>
  <c r="M110" i="2"/>
  <c r="AA110" i="2" s="1"/>
  <c r="M111" i="2"/>
  <c r="M112" i="2"/>
  <c r="M113" i="2"/>
  <c r="AA113" i="2" s="1"/>
  <c r="M114" i="2"/>
  <c r="AA114" i="2" s="1"/>
  <c r="M115" i="2"/>
  <c r="AA115" i="2" s="1"/>
  <c r="M116" i="2"/>
  <c r="M117" i="2"/>
  <c r="AA117" i="2" s="1"/>
  <c r="M118" i="2"/>
  <c r="AA118" i="2" s="1"/>
  <c r="M119" i="2"/>
  <c r="AA119" i="2" s="1"/>
  <c r="M120" i="2"/>
  <c r="M121" i="2"/>
  <c r="AA121" i="2" s="1"/>
  <c r="M122" i="2"/>
  <c r="AA122" i="2" s="1"/>
  <c r="M123" i="2"/>
  <c r="AA123" i="2" s="1"/>
  <c r="M124" i="2"/>
  <c r="M125" i="2"/>
  <c r="M126" i="2"/>
  <c r="AA126" i="2" s="1"/>
  <c r="M127" i="2"/>
  <c r="M128" i="2"/>
  <c r="M129" i="2"/>
  <c r="AA129" i="2" s="1"/>
  <c r="M130" i="2"/>
  <c r="AA130" i="2" s="1"/>
  <c r="M131" i="2"/>
  <c r="AA131" i="2" s="1"/>
  <c r="M132" i="2"/>
  <c r="M133" i="2"/>
  <c r="M134" i="2"/>
  <c r="AA134" i="2" s="1"/>
  <c r="M135" i="2"/>
  <c r="M136" i="2"/>
  <c r="M137" i="2"/>
  <c r="M138" i="2"/>
  <c r="AA138" i="2" s="1"/>
  <c r="M139" i="2"/>
  <c r="AA139" i="2" s="1"/>
  <c r="M140" i="2"/>
  <c r="M141" i="2"/>
  <c r="M142" i="2"/>
  <c r="AA142" i="2" s="1"/>
  <c r="M143" i="2"/>
  <c r="AA143" i="2" s="1"/>
  <c r="M144" i="2"/>
  <c r="M145" i="2"/>
  <c r="AA145" i="2" s="1"/>
  <c r="M146" i="2"/>
  <c r="AA146" i="2" s="1"/>
  <c r="M147" i="2"/>
  <c r="M148" i="2"/>
  <c r="M149" i="2"/>
  <c r="AA149" i="2" s="1"/>
  <c r="M150" i="2"/>
  <c r="AA150" i="2" s="1"/>
  <c r="L78" i="2"/>
  <c r="K78" i="2"/>
  <c r="Y86" i="2"/>
  <c r="Y94" i="2"/>
  <c r="Y102" i="2"/>
  <c r="Y110" i="2"/>
  <c r="Y118" i="2"/>
  <c r="Y126" i="2"/>
  <c r="Y134" i="2"/>
  <c r="Y142" i="2"/>
  <c r="Y150" i="2"/>
  <c r="J78" i="2"/>
  <c r="Y78" i="2" s="1"/>
  <c r="I78" i="2"/>
  <c r="X78" i="2" s="1"/>
  <c r="X79" i="2"/>
  <c r="Y79" i="2"/>
  <c r="AA79" i="2"/>
  <c r="X80" i="2"/>
  <c r="Y80" i="2"/>
  <c r="AA80" i="2"/>
  <c r="X81" i="2"/>
  <c r="Y81" i="2"/>
  <c r="X82" i="2"/>
  <c r="Y82" i="2"/>
  <c r="X83" i="2"/>
  <c r="Y83" i="2"/>
  <c r="X84" i="2"/>
  <c r="Y84" i="2"/>
  <c r="AA84" i="2"/>
  <c r="X85" i="2"/>
  <c r="Y85" i="2"/>
  <c r="AA85" i="2"/>
  <c r="X86" i="2"/>
  <c r="X87" i="2"/>
  <c r="Y87" i="2"/>
  <c r="X88" i="2"/>
  <c r="Y88" i="2"/>
  <c r="AA88" i="2"/>
  <c r="X89" i="2"/>
  <c r="Y89" i="2"/>
  <c r="X90" i="2"/>
  <c r="Y90" i="2"/>
  <c r="X91" i="2"/>
  <c r="Y91" i="2"/>
  <c r="X92" i="2"/>
  <c r="Y92" i="2"/>
  <c r="AA92" i="2"/>
  <c r="X93" i="2"/>
  <c r="Y93" i="2"/>
  <c r="X94" i="2"/>
  <c r="X95" i="2"/>
  <c r="Y95" i="2"/>
  <c r="X96" i="2"/>
  <c r="Y96" i="2"/>
  <c r="AA96" i="2"/>
  <c r="X97" i="2"/>
  <c r="Y97" i="2"/>
  <c r="X98" i="2"/>
  <c r="Y98" i="2"/>
  <c r="X99" i="2"/>
  <c r="Y99" i="2"/>
  <c r="AA99" i="2"/>
  <c r="X100" i="2"/>
  <c r="Y100" i="2"/>
  <c r="AA100" i="2"/>
  <c r="X101" i="2"/>
  <c r="Y101" i="2"/>
  <c r="X102" i="2"/>
  <c r="X103" i="2"/>
  <c r="Y103" i="2"/>
  <c r="X104" i="2"/>
  <c r="Y104" i="2"/>
  <c r="AA104" i="2"/>
  <c r="X105" i="2"/>
  <c r="Y105" i="2"/>
  <c r="X106" i="2"/>
  <c r="Y106" i="2"/>
  <c r="X107" i="2"/>
  <c r="Y107" i="2"/>
  <c r="X108" i="2"/>
  <c r="Y108" i="2"/>
  <c r="AA108" i="2"/>
  <c r="X109" i="2"/>
  <c r="Y109" i="2"/>
  <c r="X110" i="2"/>
  <c r="X111" i="2"/>
  <c r="Y111" i="2"/>
  <c r="AA111" i="2"/>
  <c r="X112" i="2"/>
  <c r="Y112" i="2"/>
  <c r="AA112" i="2"/>
  <c r="X113" i="2"/>
  <c r="Y113" i="2"/>
  <c r="X114" i="2"/>
  <c r="Y114" i="2"/>
  <c r="X115" i="2"/>
  <c r="Y115" i="2"/>
  <c r="X116" i="2"/>
  <c r="Y116" i="2"/>
  <c r="AA116" i="2"/>
  <c r="X117" i="2"/>
  <c r="Y117" i="2"/>
  <c r="X118" i="2"/>
  <c r="X119" i="2"/>
  <c r="Y119" i="2"/>
  <c r="X120" i="2"/>
  <c r="Y120" i="2"/>
  <c r="AA120" i="2"/>
  <c r="X121" i="2"/>
  <c r="Y121" i="2"/>
  <c r="X122" i="2"/>
  <c r="Y122" i="2"/>
  <c r="X123" i="2"/>
  <c r="Y123" i="2"/>
  <c r="X124" i="2"/>
  <c r="Y124" i="2"/>
  <c r="AA124" i="2"/>
  <c r="X125" i="2"/>
  <c r="Y125" i="2"/>
  <c r="AA125" i="2"/>
  <c r="X126" i="2"/>
  <c r="X127" i="2"/>
  <c r="Y127" i="2"/>
  <c r="AA127" i="2"/>
  <c r="X128" i="2"/>
  <c r="Y128" i="2"/>
  <c r="AA128" i="2"/>
  <c r="X129" i="2"/>
  <c r="Y129" i="2"/>
  <c r="X130" i="2"/>
  <c r="Y130" i="2"/>
  <c r="X131" i="2"/>
  <c r="Y131" i="2"/>
  <c r="X132" i="2"/>
  <c r="Y132" i="2"/>
  <c r="AA132" i="2"/>
  <c r="X133" i="2"/>
  <c r="Y133" i="2"/>
  <c r="AA133" i="2"/>
  <c r="X134" i="2"/>
  <c r="X135" i="2"/>
  <c r="Y135" i="2"/>
  <c r="AA135" i="2"/>
  <c r="X136" i="2"/>
  <c r="Y136" i="2"/>
  <c r="AA136" i="2"/>
  <c r="X137" i="2"/>
  <c r="Y137" i="2"/>
  <c r="AA137" i="2"/>
  <c r="X138" i="2"/>
  <c r="Y138" i="2"/>
  <c r="X139" i="2"/>
  <c r="Y139" i="2"/>
  <c r="X140" i="2"/>
  <c r="Y140" i="2"/>
  <c r="AA140" i="2"/>
  <c r="X141" i="2"/>
  <c r="Y141" i="2"/>
  <c r="AA141" i="2"/>
  <c r="X142" i="2"/>
  <c r="X143" i="2"/>
  <c r="Y143" i="2"/>
  <c r="X144" i="2"/>
  <c r="Y144" i="2"/>
  <c r="AA144" i="2"/>
  <c r="X145" i="2"/>
  <c r="Y145" i="2"/>
  <c r="X146" i="2"/>
  <c r="Y146" i="2"/>
  <c r="X147" i="2"/>
  <c r="Y147" i="2"/>
  <c r="AA147" i="2"/>
  <c r="X148" i="2"/>
  <c r="Y148" i="2"/>
  <c r="AA148" i="2"/>
  <c r="X149" i="2"/>
  <c r="Y149" i="2"/>
  <c r="X150" i="2"/>
  <c r="Z80" i="2" l="1"/>
  <c r="AB80" i="2" s="1"/>
  <c r="Z136" i="2"/>
  <c r="AB136" i="2" s="1"/>
  <c r="Z149" i="2"/>
  <c r="AB149" i="2" s="1"/>
  <c r="Z128" i="2"/>
  <c r="AB128" i="2" s="1"/>
  <c r="Z100" i="2"/>
  <c r="AB100" i="2" s="1"/>
  <c r="Z133" i="2"/>
  <c r="AB133" i="2" s="1"/>
  <c r="Z125" i="2"/>
  <c r="AB125" i="2" s="1"/>
  <c r="Z117" i="2"/>
  <c r="AB117" i="2" s="1"/>
  <c r="Z85" i="2"/>
  <c r="AB85" i="2" s="1"/>
  <c r="Z112" i="2"/>
  <c r="AB112" i="2" s="1"/>
  <c r="Z88" i="2"/>
  <c r="AB88" i="2" s="1"/>
  <c r="Z121" i="2"/>
  <c r="AB121" i="2" s="1"/>
  <c r="M78" i="2"/>
  <c r="AA78" i="2" s="1"/>
  <c r="Z144" i="2"/>
  <c r="AB144" i="2" s="1"/>
  <c r="Z141" i="2"/>
  <c r="AB141" i="2" s="1"/>
  <c r="Z108" i="2"/>
  <c r="AB108" i="2" s="1"/>
  <c r="Z96" i="2"/>
  <c r="AB96" i="2" s="1"/>
  <c r="Z93" i="2"/>
  <c r="AB93" i="2" s="1"/>
  <c r="Z124" i="2"/>
  <c r="AB124" i="2" s="1"/>
  <c r="Z104" i="2"/>
  <c r="AB104" i="2" s="1"/>
  <c r="Z103" i="2"/>
  <c r="AB103" i="2" s="1"/>
  <c r="Z140" i="2"/>
  <c r="AB140" i="2" s="1"/>
  <c r="Z120" i="2"/>
  <c r="AB120" i="2" s="1"/>
  <c r="Z109" i="2"/>
  <c r="AB109" i="2" s="1"/>
  <c r="Z92" i="2"/>
  <c r="AB92" i="2" s="1"/>
  <c r="Z89" i="2"/>
  <c r="AB89" i="2" s="1"/>
  <c r="Z148" i="2"/>
  <c r="AB148" i="2" s="1"/>
  <c r="Z145" i="2"/>
  <c r="AB145" i="2" s="1"/>
  <c r="Z132" i="2"/>
  <c r="AB132" i="2" s="1"/>
  <c r="Z129" i="2"/>
  <c r="AB129" i="2" s="1"/>
  <c r="Z116" i="2"/>
  <c r="AB116" i="2" s="1"/>
  <c r="Z113" i="2"/>
  <c r="AB113" i="2" s="1"/>
  <c r="Z101" i="2"/>
  <c r="AB101" i="2" s="1"/>
  <c r="Z97" i="2"/>
  <c r="AB97" i="2" s="1"/>
  <c r="Z84" i="2"/>
  <c r="AB84" i="2" s="1"/>
  <c r="Z81" i="2"/>
  <c r="AB81" i="2" s="1"/>
  <c r="Z143" i="2"/>
  <c r="AB143" i="2" s="1"/>
  <c r="Z137" i="2"/>
  <c r="AB137" i="2" s="1"/>
  <c r="Z135" i="2"/>
  <c r="AB135" i="2" s="1"/>
  <c r="Z127" i="2"/>
  <c r="AB127" i="2" s="1"/>
  <c r="Z119" i="2"/>
  <c r="AB119" i="2" s="1"/>
  <c r="Z111" i="2"/>
  <c r="AB111" i="2" s="1"/>
  <c r="Z105" i="2"/>
  <c r="AB105" i="2" s="1"/>
  <c r="Z95" i="2"/>
  <c r="AB95" i="2" s="1"/>
  <c r="Z87" i="2"/>
  <c r="AB87" i="2" s="1"/>
  <c r="Z79" i="2"/>
  <c r="AB79" i="2" s="1"/>
  <c r="Z146" i="2"/>
  <c r="AB146" i="2" s="1"/>
  <c r="Z138" i="2"/>
  <c r="AB138" i="2" s="1"/>
  <c r="Z130" i="2"/>
  <c r="AB130" i="2" s="1"/>
  <c r="Z122" i="2"/>
  <c r="AB122" i="2" s="1"/>
  <c r="Z114" i="2"/>
  <c r="AB114" i="2" s="1"/>
  <c r="Z106" i="2"/>
  <c r="AB106" i="2" s="1"/>
  <c r="Z98" i="2"/>
  <c r="AB98" i="2" s="1"/>
  <c r="Z90" i="2"/>
  <c r="AB90" i="2" s="1"/>
  <c r="Z82" i="2"/>
  <c r="AB82" i="2" s="1"/>
  <c r="Z147" i="2"/>
  <c r="AB147" i="2" s="1"/>
  <c r="Z139" i="2"/>
  <c r="AB139" i="2" s="1"/>
  <c r="Z131" i="2"/>
  <c r="AB131" i="2" s="1"/>
  <c r="Z123" i="2"/>
  <c r="AB123" i="2" s="1"/>
  <c r="Z115" i="2"/>
  <c r="AB115" i="2" s="1"/>
  <c r="Z107" i="2"/>
  <c r="AB107" i="2" s="1"/>
  <c r="Z99" i="2"/>
  <c r="AB99" i="2" s="1"/>
  <c r="Z91" i="2"/>
  <c r="AB91" i="2" s="1"/>
  <c r="Z83" i="2"/>
  <c r="AB83" i="2" s="1"/>
  <c r="Z150" i="2"/>
  <c r="AB150" i="2" s="1"/>
  <c r="Z142" i="2"/>
  <c r="AB142" i="2" s="1"/>
  <c r="Z134" i="2"/>
  <c r="AB134" i="2" s="1"/>
  <c r="Z126" i="2"/>
  <c r="AB126" i="2" s="1"/>
  <c r="Z118" i="2"/>
  <c r="AB118" i="2" s="1"/>
  <c r="Z110" i="2"/>
  <c r="AB110" i="2" s="1"/>
  <c r="Z102" i="2"/>
  <c r="AB102" i="2" s="1"/>
  <c r="Z94" i="2"/>
  <c r="AB94" i="2" s="1"/>
  <c r="Z86" i="2"/>
  <c r="AB86" i="2" s="1"/>
  <c r="Z78" i="2"/>
  <c r="AB78" i="2" s="1"/>
  <c r="D17" i="6" l="1"/>
  <c r="D18" i="6" l="1"/>
  <c r="D19" i="6" s="1"/>
  <c r="B143" i="2"/>
  <c r="C143" i="2"/>
  <c r="D143" i="2"/>
  <c r="E143" i="2"/>
  <c r="F143" i="2"/>
  <c r="O143" i="2"/>
  <c r="P143" i="2"/>
  <c r="Q143" i="2"/>
  <c r="R143" i="2"/>
  <c r="S143" i="2"/>
  <c r="B144" i="2"/>
  <c r="C144" i="2"/>
  <c r="D144" i="2"/>
  <c r="E144" i="2"/>
  <c r="F144" i="2"/>
  <c r="O144" i="2"/>
  <c r="P144" i="2"/>
  <c r="Q144" i="2"/>
  <c r="R144" i="2"/>
  <c r="S144" i="2"/>
  <c r="B145" i="2"/>
  <c r="C145" i="2"/>
  <c r="D145" i="2"/>
  <c r="E145" i="2"/>
  <c r="F145" i="2"/>
  <c r="O145" i="2"/>
  <c r="P145" i="2"/>
  <c r="Q145" i="2"/>
  <c r="R145" i="2"/>
  <c r="S145" i="2"/>
  <c r="B146" i="2"/>
  <c r="C146" i="2"/>
  <c r="D146" i="2"/>
  <c r="E146" i="2"/>
  <c r="F146" i="2"/>
  <c r="O146" i="2"/>
  <c r="P146" i="2"/>
  <c r="Q146" i="2"/>
  <c r="R146" i="2"/>
  <c r="S146" i="2"/>
  <c r="B147" i="2"/>
  <c r="C147" i="2"/>
  <c r="D147" i="2"/>
  <c r="E147" i="2"/>
  <c r="F147" i="2"/>
  <c r="O147" i="2"/>
  <c r="P147" i="2"/>
  <c r="Q147" i="2"/>
  <c r="R147" i="2"/>
  <c r="S147" i="2"/>
  <c r="B148" i="2"/>
  <c r="C148" i="2"/>
  <c r="D148" i="2"/>
  <c r="E148" i="2"/>
  <c r="F148" i="2"/>
  <c r="O148" i="2"/>
  <c r="P148" i="2"/>
  <c r="Q148" i="2"/>
  <c r="R148" i="2"/>
  <c r="S148" i="2"/>
  <c r="B149" i="2"/>
  <c r="C149" i="2"/>
  <c r="D149" i="2"/>
  <c r="E149" i="2"/>
  <c r="F149" i="2"/>
  <c r="O149" i="2"/>
  <c r="P149" i="2"/>
  <c r="Q149" i="2"/>
  <c r="R149" i="2"/>
  <c r="S149" i="2"/>
  <c r="B150" i="2"/>
  <c r="C150" i="2"/>
  <c r="D150" i="2"/>
  <c r="E150" i="2"/>
  <c r="F150" i="2"/>
  <c r="O150" i="2"/>
  <c r="P150" i="2"/>
  <c r="Q150" i="2"/>
  <c r="R150" i="2"/>
  <c r="S150" i="2"/>
  <c r="O128" i="2"/>
  <c r="P128" i="2"/>
  <c r="Q128" i="2"/>
  <c r="R128" i="2"/>
  <c r="S128" i="2"/>
  <c r="O129" i="2"/>
  <c r="P129" i="2"/>
  <c r="Q129" i="2"/>
  <c r="R129" i="2"/>
  <c r="S129" i="2"/>
  <c r="O130" i="2"/>
  <c r="P130" i="2"/>
  <c r="Q130" i="2"/>
  <c r="R130" i="2"/>
  <c r="S130" i="2"/>
  <c r="O131" i="2"/>
  <c r="P131" i="2"/>
  <c r="Q131" i="2"/>
  <c r="R131" i="2"/>
  <c r="S131" i="2"/>
  <c r="O132" i="2"/>
  <c r="P132" i="2"/>
  <c r="Q132" i="2"/>
  <c r="R132" i="2"/>
  <c r="S132" i="2"/>
  <c r="O133" i="2"/>
  <c r="P133" i="2"/>
  <c r="Q133" i="2"/>
  <c r="R133" i="2"/>
  <c r="S133" i="2"/>
  <c r="O134" i="2"/>
  <c r="P134" i="2"/>
  <c r="Q134" i="2"/>
  <c r="R134" i="2"/>
  <c r="S134" i="2"/>
  <c r="O135" i="2"/>
  <c r="P135" i="2"/>
  <c r="Q135" i="2"/>
  <c r="R135" i="2"/>
  <c r="S135" i="2"/>
  <c r="O136" i="2"/>
  <c r="P136" i="2"/>
  <c r="Q136" i="2"/>
  <c r="R136" i="2"/>
  <c r="S136" i="2"/>
  <c r="O137" i="2"/>
  <c r="P137" i="2"/>
  <c r="Q137" i="2"/>
  <c r="R137" i="2"/>
  <c r="S137" i="2"/>
  <c r="O138" i="2"/>
  <c r="P138" i="2"/>
  <c r="Q138" i="2"/>
  <c r="R138" i="2"/>
  <c r="S138" i="2"/>
  <c r="O139" i="2"/>
  <c r="P139" i="2"/>
  <c r="Q139" i="2"/>
  <c r="R139" i="2"/>
  <c r="S139" i="2"/>
  <c r="O140" i="2"/>
  <c r="P140" i="2"/>
  <c r="Q140" i="2"/>
  <c r="R140" i="2"/>
  <c r="S140" i="2"/>
  <c r="O141" i="2"/>
  <c r="P141" i="2"/>
  <c r="Q141" i="2"/>
  <c r="R141" i="2"/>
  <c r="S141" i="2"/>
  <c r="O142" i="2"/>
  <c r="P142" i="2"/>
  <c r="Q142" i="2"/>
  <c r="R142" i="2"/>
  <c r="S142" i="2"/>
  <c r="B128" i="2"/>
  <c r="C128" i="2"/>
  <c r="D128" i="2"/>
  <c r="E128" i="2"/>
  <c r="F128" i="2"/>
  <c r="B129" i="2"/>
  <c r="C129" i="2"/>
  <c r="D129" i="2"/>
  <c r="E129" i="2"/>
  <c r="F129" i="2"/>
  <c r="B130" i="2"/>
  <c r="C130" i="2"/>
  <c r="D130" i="2"/>
  <c r="E130" i="2"/>
  <c r="F130" i="2"/>
  <c r="B131" i="2"/>
  <c r="C131" i="2"/>
  <c r="D131" i="2"/>
  <c r="E131" i="2"/>
  <c r="F131" i="2"/>
  <c r="B132" i="2"/>
  <c r="C132" i="2"/>
  <c r="D132" i="2"/>
  <c r="E132" i="2"/>
  <c r="F132" i="2"/>
  <c r="B133" i="2"/>
  <c r="C133" i="2"/>
  <c r="D133" i="2"/>
  <c r="E133" i="2"/>
  <c r="F133" i="2"/>
  <c r="B134" i="2"/>
  <c r="C134" i="2"/>
  <c r="D134" i="2"/>
  <c r="E134" i="2"/>
  <c r="F134" i="2"/>
  <c r="B135" i="2"/>
  <c r="C135" i="2"/>
  <c r="D135" i="2"/>
  <c r="E135" i="2"/>
  <c r="F135" i="2"/>
  <c r="B136" i="2"/>
  <c r="C136" i="2"/>
  <c r="D136" i="2"/>
  <c r="E136" i="2"/>
  <c r="F136" i="2"/>
  <c r="B137" i="2"/>
  <c r="C137" i="2"/>
  <c r="D137" i="2"/>
  <c r="E137" i="2"/>
  <c r="F137" i="2"/>
  <c r="B138" i="2"/>
  <c r="C138" i="2"/>
  <c r="D138" i="2"/>
  <c r="E138" i="2"/>
  <c r="F138" i="2"/>
  <c r="B139" i="2"/>
  <c r="C139" i="2"/>
  <c r="D139" i="2"/>
  <c r="E139" i="2"/>
  <c r="F139" i="2"/>
  <c r="B140" i="2"/>
  <c r="C140" i="2"/>
  <c r="D140" i="2"/>
  <c r="E140" i="2"/>
  <c r="F140" i="2"/>
  <c r="B141" i="2"/>
  <c r="C141" i="2"/>
  <c r="D141" i="2"/>
  <c r="E141" i="2"/>
  <c r="F141" i="2"/>
  <c r="B142" i="2"/>
  <c r="C142" i="2"/>
  <c r="D142" i="2"/>
  <c r="E142" i="2"/>
  <c r="F142" i="2"/>
  <c r="B121" i="2"/>
  <c r="C121" i="2"/>
  <c r="D121" i="2"/>
  <c r="E121" i="2"/>
  <c r="F121" i="2"/>
  <c r="O121" i="2"/>
  <c r="P121" i="2"/>
  <c r="Q121" i="2"/>
  <c r="R121" i="2"/>
  <c r="S121" i="2"/>
  <c r="B122" i="2"/>
  <c r="C122" i="2"/>
  <c r="D122" i="2"/>
  <c r="E122" i="2"/>
  <c r="F122" i="2"/>
  <c r="O122" i="2"/>
  <c r="P122" i="2"/>
  <c r="Q122" i="2"/>
  <c r="R122" i="2"/>
  <c r="S122" i="2"/>
  <c r="B123" i="2"/>
  <c r="C123" i="2"/>
  <c r="D123" i="2"/>
  <c r="E123" i="2"/>
  <c r="F123" i="2"/>
  <c r="O123" i="2"/>
  <c r="P123" i="2"/>
  <c r="Q123" i="2"/>
  <c r="R123" i="2"/>
  <c r="S123" i="2"/>
  <c r="B124" i="2"/>
  <c r="C124" i="2"/>
  <c r="D124" i="2"/>
  <c r="E124" i="2"/>
  <c r="F124" i="2"/>
  <c r="O124" i="2"/>
  <c r="P124" i="2"/>
  <c r="Q124" i="2"/>
  <c r="R124" i="2"/>
  <c r="S124" i="2"/>
  <c r="B125" i="2"/>
  <c r="C125" i="2"/>
  <c r="D125" i="2"/>
  <c r="E125" i="2"/>
  <c r="F125" i="2"/>
  <c r="O125" i="2"/>
  <c r="P125" i="2"/>
  <c r="Q125" i="2"/>
  <c r="R125" i="2"/>
  <c r="S125" i="2"/>
  <c r="B126" i="2"/>
  <c r="C126" i="2"/>
  <c r="D126" i="2"/>
  <c r="E126" i="2"/>
  <c r="F126" i="2"/>
  <c r="O126" i="2"/>
  <c r="P126" i="2"/>
  <c r="Q126" i="2"/>
  <c r="R126" i="2"/>
  <c r="S126" i="2"/>
  <c r="B127" i="2"/>
  <c r="C127" i="2"/>
  <c r="D127" i="2"/>
  <c r="E127" i="2"/>
  <c r="F127" i="2"/>
  <c r="O127" i="2"/>
  <c r="P127" i="2"/>
  <c r="Q127" i="2"/>
  <c r="R127" i="2"/>
  <c r="S127" i="2"/>
  <c r="B79" i="2"/>
  <c r="C79" i="2"/>
  <c r="D79" i="2"/>
  <c r="E79" i="2"/>
  <c r="F79" i="2"/>
  <c r="O79" i="2"/>
  <c r="P79" i="2"/>
  <c r="Q79" i="2"/>
  <c r="R79" i="2"/>
  <c r="S79" i="2"/>
  <c r="B80" i="2"/>
  <c r="C80" i="2"/>
  <c r="D80" i="2"/>
  <c r="E80" i="2"/>
  <c r="F80" i="2"/>
  <c r="O80" i="2"/>
  <c r="P80" i="2"/>
  <c r="Q80" i="2"/>
  <c r="R80" i="2"/>
  <c r="S80" i="2"/>
  <c r="B81" i="2"/>
  <c r="C81" i="2"/>
  <c r="D81" i="2"/>
  <c r="E81" i="2"/>
  <c r="F81" i="2"/>
  <c r="O81" i="2"/>
  <c r="P81" i="2"/>
  <c r="Q81" i="2"/>
  <c r="R81" i="2"/>
  <c r="S81" i="2"/>
  <c r="B82" i="2"/>
  <c r="C82" i="2"/>
  <c r="D82" i="2"/>
  <c r="E82" i="2"/>
  <c r="F82" i="2"/>
  <c r="O82" i="2"/>
  <c r="P82" i="2"/>
  <c r="Q82" i="2"/>
  <c r="R82" i="2"/>
  <c r="S82" i="2"/>
  <c r="B83" i="2"/>
  <c r="C83" i="2"/>
  <c r="D83" i="2"/>
  <c r="E83" i="2"/>
  <c r="F83" i="2"/>
  <c r="O83" i="2"/>
  <c r="P83" i="2"/>
  <c r="Q83" i="2"/>
  <c r="R83" i="2"/>
  <c r="S83" i="2"/>
  <c r="B84" i="2"/>
  <c r="C84" i="2"/>
  <c r="D84" i="2"/>
  <c r="E84" i="2"/>
  <c r="F84" i="2"/>
  <c r="O84" i="2"/>
  <c r="P84" i="2"/>
  <c r="Q84" i="2"/>
  <c r="R84" i="2"/>
  <c r="S84" i="2"/>
  <c r="B85" i="2"/>
  <c r="C85" i="2"/>
  <c r="D85" i="2"/>
  <c r="E85" i="2"/>
  <c r="F85" i="2"/>
  <c r="O85" i="2"/>
  <c r="P85" i="2"/>
  <c r="Q85" i="2"/>
  <c r="R85" i="2"/>
  <c r="S85" i="2"/>
  <c r="B86" i="2"/>
  <c r="C86" i="2"/>
  <c r="D86" i="2"/>
  <c r="E86" i="2"/>
  <c r="F86" i="2"/>
  <c r="O86" i="2"/>
  <c r="P86" i="2"/>
  <c r="Q86" i="2"/>
  <c r="R86" i="2"/>
  <c r="S86" i="2"/>
  <c r="B87" i="2"/>
  <c r="C87" i="2"/>
  <c r="D87" i="2"/>
  <c r="E87" i="2"/>
  <c r="F87" i="2"/>
  <c r="O87" i="2"/>
  <c r="P87" i="2"/>
  <c r="Q87" i="2"/>
  <c r="R87" i="2"/>
  <c r="S87" i="2"/>
  <c r="B88" i="2"/>
  <c r="C88" i="2"/>
  <c r="D88" i="2"/>
  <c r="E88" i="2"/>
  <c r="F88" i="2"/>
  <c r="O88" i="2"/>
  <c r="P88" i="2"/>
  <c r="Q88" i="2"/>
  <c r="R88" i="2"/>
  <c r="S88" i="2"/>
  <c r="B89" i="2"/>
  <c r="C89" i="2"/>
  <c r="D89" i="2"/>
  <c r="E89" i="2"/>
  <c r="F89" i="2"/>
  <c r="O89" i="2"/>
  <c r="P89" i="2"/>
  <c r="Q89" i="2"/>
  <c r="R89" i="2"/>
  <c r="S89" i="2"/>
  <c r="B90" i="2"/>
  <c r="C90" i="2"/>
  <c r="D90" i="2"/>
  <c r="E90" i="2"/>
  <c r="F90" i="2"/>
  <c r="O90" i="2"/>
  <c r="P90" i="2"/>
  <c r="Q90" i="2"/>
  <c r="R90" i="2"/>
  <c r="S90" i="2"/>
  <c r="B91" i="2"/>
  <c r="C91" i="2"/>
  <c r="D91" i="2"/>
  <c r="E91" i="2"/>
  <c r="F91" i="2"/>
  <c r="O91" i="2"/>
  <c r="P91" i="2"/>
  <c r="Q91" i="2"/>
  <c r="R91" i="2"/>
  <c r="S91" i="2"/>
  <c r="B92" i="2"/>
  <c r="C92" i="2"/>
  <c r="D92" i="2"/>
  <c r="E92" i="2"/>
  <c r="F92" i="2"/>
  <c r="O92" i="2"/>
  <c r="P92" i="2"/>
  <c r="Q92" i="2"/>
  <c r="R92" i="2"/>
  <c r="S92" i="2"/>
  <c r="B93" i="2"/>
  <c r="C93" i="2"/>
  <c r="D93" i="2"/>
  <c r="E93" i="2"/>
  <c r="F93" i="2"/>
  <c r="O93" i="2"/>
  <c r="P93" i="2"/>
  <c r="Q93" i="2"/>
  <c r="R93" i="2"/>
  <c r="S93" i="2"/>
  <c r="B94" i="2"/>
  <c r="C94" i="2"/>
  <c r="D94" i="2"/>
  <c r="E94" i="2"/>
  <c r="F94" i="2"/>
  <c r="O94" i="2"/>
  <c r="P94" i="2"/>
  <c r="Q94" i="2"/>
  <c r="R94" i="2"/>
  <c r="S94" i="2"/>
  <c r="B95" i="2"/>
  <c r="C95" i="2"/>
  <c r="D95" i="2"/>
  <c r="E95" i="2"/>
  <c r="F95" i="2"/>
  <c r="O95" i="2"/>
  <c r="P95" i="2"/>
  <c r="Q95" i="2"/>
  <c r="R95" i="2"/>
  <c r="S95" i="2"/>
  <c r="B96" i="2"/>
  <c r="C96" i="2"/>
  <c r="D96" i="2"/>
  <c r="E96" i="2"/>
  <c r="F96" i="2"/>
  <c r="O96" i="2"/>
  <c r="P96" i="2"/>
  <c r="Q96" i="2"/>
  <c r="R96" i="2"/>
  <c r="S96" i="2"/>
  <c r="B97" i="2"/>
  <c r="C97" i="2"/>
  <c r="D97" i="2"/>
  <c r="E97" i="2"/>
  <c r="F97" i="2"/>
  <c r="O97" i="2"/>
  <c r="P97" i="2"/>
  <c r="Q97" i="2"/>
  <c r="R97" i="2"/>
  <c r="S97" i="2"/>
  <c r="B98" i="2"/>
  <c r="C98" i="2"/>
  <c r="D98" i="2"/>
  <c r="E98" i="2"/>
  <c r="F98" i="2"/>
  <c r="O98" i="2"/>
  <c r="P98" i="2"/>
  <c r="Q98" i="2"/>
  <c r="R98" i="2"/>
  <c r="S98" i="2"/>
  <c r="B99" i="2"/>
  <c r="C99" i="2"/>
  <c r="D99" i="2"/>
  <c r="E99" i="2"/>
  <c r="F99" i="2"/>
  <c r="O99" i="2"/>
  <c r="P99" i="2"/>
  <c r="Q99" i="2"/>
  <c r="R99" i="2"/>
  <c r="S99" i="2"/>
  <c r="B100" i="2"/>
  <c r="C100" i="2"/>
  <c r="D100" i="2"/>
  <c r="E100" i="2"/>
  <c r="F100" i="2"/>
  <c r="O100" i="2"/>
  <c r="P100" i="2"/>
  <c r="Q100" i="2"/>
  <c r="R100" i="2"/>
  <c r="S100" i="2"/>
  <c r="B101" i="2"/>
  <c r="C101" i="2"/>
  <c r="D101" i="2"/>
  <c r="E101" i="2"/>
  <c r="F101" i="2"/>
  <c r="O101" i="2"/>
  <c r="P101" i="2"/>
  <c r="Q101" i="2"/>
  <c r="R101" i="2"/>
  <c r="S101" i="2"/>
  <c r="B102" i="2"/>
  <c r="C102" i="2"/>
  <c r="D102" i="2"/>
  <c r="E102" i="2"/>
  <c r="F102" i="2"/>
  <c r="O102" i="2"/>
  <c r="P102" i="2"/>
  <c r="Q102" i="2"/>
  <c r="R102" i="2"/>
  <c r="S102" i="2"/>
  <c r="B103" i="2"/>
  <c r="C103" i="2"/>
  <c r="D103" i="2"/>
  <c r="E103" i="2"/>
  <c r="F103" i="2"/>
  <c r="O103" i="2"/>
  <c r="P103" i="2"/>
  <c r="Q103" i="2"/>
  <c r="R103" i="2"/>
  <c r="S103" i="2"/>
  <c r="B104" i="2"/>
  <c r="C104" i="2"/>
  <c r="D104" i="2"/>
  <c r="E104" i="2"/>
  <c r="F104" i="2"/>
  <c r="O104" i="2"/>
  <c r="P104" i="2"/>
  <c r="Q104" i="2"/>
  <c r="R104" i="2"/>
  <c r="S104" i="2"/>
  <c r="B105" i="2"/>
  <c r="C105" i="2"/>
  <c r="D105" i="2"/>
  <c r="E105" i="2"/>
  <c r="F105" i="2"/>
  <c r="O105" i="2"/>
  <c r="P105" i="2"/>
  <c r="Q105" i="2"/>
  <c r="R105" i="2"/>
  <c r="S105" i="2"/>
  <c r="B106" i="2"/>
  <c r="C106" i="2"/>
  <c r="D106" i="2"/>
  <c r="E106" i="2"/>
  <c r="F106" i="2"/>
  <c r="O106" i="2"/>
  <c r="P106" i="2"/>
  <c r="Q106" i="2"/>
  <c r="R106" i="2"/>
  <c r="S106" i="2"/>
  <c r="B107" i="2"/>
  <c r="C107" i="2"/>
  <c r="D107" i="2"/>
  <c r="E107" i="2"/>
  <c r="F107" i="2"/>
  <c r="O107" i="2"/>
  <c r="P107" i="2"/>
  <c r="Q107" i="2"/>
  <c r="R107" i="2"/>
  <c r="S107" i="2"/>
  <c r="B108" i="2"/>
  <c r="C108" i="2"/>
  <c r="D108" i="2"/>
  <c r="E108" i="2"/>
  <c r="F108" i="2"/>
  <c r="O108" i="2"/>
  <c r="P108" i="2"/>
  <c r="Q108" i="2"/>
  <c r="R108" i="2"/>
  <c r="S108" i="2"/>
  <c r="B109" i="2"/>
  <c r="C109" i="2"/>
  <c r="D109" i="2"/>
  <c r="E109" i="2"/>
  <c r="F109" i="2"/>
  <c r="O109" i="2"/>
  <c r="P109" i="2"/>
  <c r="Q109" i="2"/>
  <c r="R109" i="2"/>
  <c r="S109" i="2"/>
  <c r="B110" i="2"/>
  <c r="C110" i="2"/>
  <c r="D110" i="2"/>
  <c r="E110" i="2"/>
  <c r="F110" i="2"/>
  <c r="O110" i="2"/>
  <c r="P110" i="2"/>
  <c r="Q110" i="2"/>
  <c r="R110" i="2"/>
  <c r="S110" i="2"/>
  <c r="B111" i="2"/>
  <c r="C111" i="2"/>
  <c r="D111" i="2"/>
  <c r="E111" i="2"/>
  <c r="F111" i="2"/>
  <c r="O111" i="2"/>
  <c r="P111" i="2"/>
  <c r="Q111" i="2"/>
  <c r="R111" i="2"/>
  <c r="S111" i="2"/>
  <c r="B112" i="2"/>
  <c r="C112" i="2"/>
  <c r="D112" i="2"/>
  <c r="E112" i="2"/>
  <c r="F112" i="2"/>
  <c r="O112" i="2"/>
  <c r="P112" i="2"/>
  <c r="Q112" i="2"/>
  <c r="R112" i="2"/>
  <c r="S112" i="2"/>
  <c r="B113" i="2"/>
  <c r="C113" i="2"/>
  <c r="D113" i="2"/>
  <c r="E113" i="2"/>
  <c r="F113" i="2"/>
  <c r="O113" i="2"/>
  <c r="P113" i="2"/>
  <c r="Q113" i="2"/>
  <c r="R113" i="2"/>
  <c r="S113" i="2"/>
  <c r="B114" i="2"/>
  <c r="C114" i="2"/>
  <c r="D114" i="2"/>
  <c r="E114" i="2"/>
  <c r="F114" i="2"/>
  <c r="O114" i="2"/>
  <c r="P114" i="2"/>
  <c r="Q114" i="2"/>
  <c r="R114" i="2"/>
  <c r="S114" i="2"/>
  <c r="B115" i="2"/>
  <c r="C115" i="2"/>
  <c r="D115" i="2"/>
  <c r="E115" i="2"/>
  <c r="F115" i="2"/>
  <c r="O115" i="2"/>
  <c r="P115" i="2"/>
  <c r="Q115" i="2"/>
  <c r="R115" i="2"/>
  <c r="S115" i="2"/>
  <c r="B116" i="2"/>
  <c r="C116" i="2"/>
  <c r="D116" i="2"/>
  <c r="E116" i="2"/>
  <c r="F116" i="2"/>
  <c r="O116" i="2"/>
  <c r="P116" i="2"/>
  <c r="Q116" i="2"/>
  <c r="R116" i="2"/>
  <c r="S116" i="2"/>
  <c r="B117" i="2"/>
  <c r="C117" i="2"/>
  <c r="D117" i="2"/>
  <c r="E117" i="2"/>
  <c r="F117" i="2"/>
  <c r="O117" i="2"/>
  <c r="P117" i="2"/>
  <c r="Q117" i="2"/>
  <c r="R117" i="2"/>
  <c r="S117" i="2"/>
  <c r="B118" i="2"/>
  <c r="C118" i="2"/>
  <c r="D118" i="2"/>
  <c r="E118" i="2"/>
  <c r="F118" i="2"/>
  <c r="O118" i="2"/>
  <c r="P118" i="2"/>
  <c r="Q118" i="2"/>
  <c r="R118" i="2"/>
  <c r="S118" i="2"/>
  <c r="B119" i="2"/>
  <c r="C119" i="2"/>
  <c r="D119" i="2"/>
  <c r="E119" i="2"/>
  <c r="F119" i="2"/>
  <c r="O119" i="2"/>
  <c r="P119" i="2"/>
  <c r="Q119" i="2"/>
  <c r="R119" i="2"/>
  <c r="S119" i="2"/>
  <c r="B120" i="2"/>
  <c r="C120" i="2"/>
  <c r="D120" i="2"/>
  <c r="E120" i="2"/>
  <c r="F120" i="2"/>
  <c r="O120" i="2"/>
  <c r="P120" i="2"/>
  <c r="Q120" i="2"/>
  <c r="R120" i="2"/>
  <c r="S120" i="2"/>
  <c r="B78" i="2"/>
  <c r="C78" i="2"/>
  <c r="D78" i="2"/>
  <c r="E78" i="2"/>
  <c r="F78" i="2"/>
  <c r="S78" i="2"/>
  <c r="R78" i="2"/>
  <c r="Q78" i="2"/>
  <c r="P78" i="2"/>
  <c r="O78" i="2"/>
  <c r="X6" i="2"/>
  <c r="Y6" i="2"/>
  <c r="X7" i="2"/>
  <c r="Y7" i="2"/>
  <c r="X8" i="2"/>
  <c r="Y8" i="2"/>
  <c r="X9" i="2"/>
  <c r="Y9" i="2"/>
  <c r="X10" i="2"/>
  <c r="Y10" i="2"/>
  <c r="X11" i="2"/>
  <c r="Y11" i="2"/>
  <c r="X12" i="2"/>
  <c r="Y12" i="2"/>
  <c r="X13" i="2"/>
  <c r="Y13" i="2"/>
  <c r="X14" i="2"/>
  <c r="Y14" i="2"/>
  <c r="X15" i="2"/>
  <c r="Y15" i="2"/>
  <c r="X16" i="2"/>
  <c r="Y16" i="2"/>
  <c r="X17" i="2"/>
  <c r="Y17" i="2"/>
  <c r="X18" i="2"/>
  <c r="Y18" i="2"/>
  <c r="X19" i="2"/>
  <c r="Y19" i="2"/>
  <c r="X20" i="2"/>
  <c r="Y20" i="2"/>
  <c r="X21" i="2"/>
  <c r="Y21" i="2"/>
  <c r="X22" i="2"/>
  <c r="Y22" i="2"/>
  <c r="X23" i="2"/>
  <c r="Y23" i="2"/>
  <c r="X24" i="2"/>
  <c r="Y24" i="2"/>
  <c r="X25" i="2"/>
  <c r="Y25" i="2"/>
  <c r="X26" i="2"/>
  <c r="Y26" i="2"/>
  <c r="X27" i="2"/>
  <c r="Y27" i="2"/>
  <c r="X28" i="2"/>
  <c r="Y28" i="2"/>
  <c r="X29" i="2"/>
  <c r="Y29" i="2"/>
  <c r="X30" i="2"/>
  <c r="Y30" i="2"/>
  <c r="X31" i="2"/>
  <c r="Y31" i="2"/>
  <c r="X32" i="2"/>
  <c r="Y32" i="2"/>
  <c r="X33" i="2"/>
  <c r="Y33" i="2"/>
  <c r="X34" i="2"/>
  <c r="Y34" i="2"/>
  <c r="X35" i="2"/>
  <c r="Y35" i="2"/>
  <c r="X36" i="2"/>
  <c r="Y36" i="2"/>
  <c r="X37" i="2"/>
  <c r="Y37" i="2"/>
  <c r="X38" i="2"/>
  <c r="Y38" i="2"/>
  <c r="X39" i="2"/>
  <c r="Y39" i="2"/>
  <c r="X40" i="2"/>
  <c r="Y40" i="2"/>
  <c r="X41" i="2"/>
  <c r="Y41" i="2"/>
  <c r="X42" i="2"/>
  <c r="Y42" i="2"/>
  <c r="X43" i="2"/>
  <c r="Y43" i="2"/>
  <c r="X44" i="2"/>
  <c r="Y44" i="2"/>
  <c r="X45" i="2"/>
  <c r="Y45" i="2"/>
  <c r="X46" i="2"/>
  <c r="Y46" i="2"/>
  <c r="X47" i="2"/>
  <c r="Y47" i="2"/>
  <c r="X48" i="2"/>
  <c r="Y48" i="2"/>
  <c r="X49" i="2"/>
  <c r="Y49" i="2"/>
  <c r="X50" i="2"/>
  <c r="Y50" i="2"/>
  <c r="X51" i="2"/>
  <c r="Y51" i="2"/>
  <c r="X52" i="2"/>
  <c r="Y52" i="2"/>
  <c r="X53" i="2"/>
  <c r="Y53" i="2"/>
  <c r="X54" i="2"/>
  <c r="Y54" i="2"/>
  <c r="X55" i="2"/>
  <c r="Y55" i="2"/>
  <c r="X56" i="2"/>
  <c r="Y56" i="2"/>
  <c r="X57" i="2"/>
  <c r="Y57" i="2"/>
  <c r="X58" i="2"/>
  <c r="Y58" i="2"/>
  <c r="X59" i="2"/>
  <c r="Y59" i="2"/>
  <c r="X60" i="2"/>
  <c r="Y60" i="2"/>
  <c r="X61" i="2"/>
  <c r="Y61" i="2"/>
  <c r="X62" i="2"/>
  <c r="Y62" i="2"/>
  <c r="X63" i="2"/>
  <c r="Y63" i="2"/>
  <c r="X64" i="2"/>
  <c r="Y64" i="2"/>
  <c r="X65" i="2"/>
  <c r="Y65" i="2"/>
  <c r="X66" i="2"/>
  <c r="Y66" i="2"/>
  <c r="X67" i="2"/>
  <c r="Y67" i="2"/>
  <c r="X68" i="2"/>
  <c r="Y68" i="2"/>
  <c r="X69" i="2"/>
  <c r="Y69" i="2"/>
  <c r="X70" i="2"/>
  <c r="Y70" i="2"/>
  <c r="X71" i="2"/>
  <c r="Y71" i="2"/>
  <c r="X72" i="2"/>
  <c r="Y72" i="2"/>
  <c r="X73" i="2"/>
  <c r="Y73" i="2"/>
  <c r="X74" i="2"/>
  <c r="Y74" i="2"/>
  <c r="X75" i="2"/>
  <c r="Y75" i="2"/>
  <c r="X76" i="2"/>
  <c r="Y76" i="2"/>
  <c r="X77" i="2"/>
  <c r="Y77" i="2"/>
  <c r="M6" i="2"/>
  <c r="AA6" i="2" s="1"/>
  <c r="M7" i="2"/>
  <c r="AA7" i="2" s="1"/>
  <c r="M8" i="2"/>
  <c r="AA8" i="2" s="1"/>
  <c r="M9" i="2"/>
  <c r="AA9" i="2" s="1"/>
  <c r="M10" i="2"/>
  <c r="AA10" i="2" s="1"/>
  <c r="M11" i="2"/>
  <c r="AA11" i="2" s="1"/>
  <c r="M12" i="2"/>
  <c r="AA12" i="2" s="1"/>
  <c r="M13" i="2"/>
  <c r="AA13" i="2" s="1"/>
  <c r="M14" i="2"/>
  <c r="AA14" i="2" s="1"/>
  <c r="M15" i="2"/>
  <c r="AA15" i="2" s="1"/>
  <c r="M16" i="2"/>
  <c r="AA16" i="2" s="1"/>
  <c r="M17" i="2"/>
  <c r="AA17" i="2" s="1"/>
  <c r="M18" i="2"/>
  <c r="AA18" i="2" s="1"/>
  <c r="M19" i="2"/>
  <c r="AA19" i="2" s="1"/>
  <c r="M20" i="2"/>
  <c r="AA20" i="2" s="1"/>
  <c r="M21" i="2"/>
  <c r="AA21" i="2" s="1"/>
  <c r="M22" i="2"/>
  <c r="AA22" i="2" s="1"/>
  <c r="M23" i="2"/>
  <c r="AA23" i="2" s="1"/>
  <c r="M24" i="2"/>
  <c r="AA24" i="2" s="1"/>
  <c r="M25" i="2"/>
  <c r="AA25" i="2" s="1"/>
  <c r="M26" i="2"/>
  <c r="AA26" i="2" s="1"/>
  <c r="M27" i="2"/>
  <c r="AA27" i="2" s="1"/>
  <c r="M28" i="2"/>
  <c r="AA28" i="2" s="1"/>
  <c r="M29" i="2"/>
  <c r="AA29" i="2" s="1"/>
  <c r="M30" i="2"/>
  <c r="AA30" i="2" s="1"/>
  <c r="M31" i="2"/>
  <c r="AA31" i="2" s="1"/>
  <c r="M32" i="2"/>
  <c r="AA32" i="2" s="1"/>
  <c r="M33" i="2"/>
  <c r="AA33" i="2" s="1"/>
  <c r="M34" i="2"/>
  <c r="AA34" i="2" s="1"/>
  <c r="M35" i="2"/>
  <c r="AA35" i="2" s="1"/>
  <c r="M36" i="2"/>
  <c r="AA36" i="2" s="1"/>
  <c r="M37" i="2"/>
  <c r="AA37" i="2" s="1"/>
  <c r="M38" i="2"/>
  <c r="AA38" i="2" s="1"/>
  <c r="M39" i="2"/>
  <c r="AA39" i="2" s="1"/>
  <c r="M40" i="2"/>
  <c r="AA40" i="2" s="1"/>
  <c r="M41" i="2"/>
  <c r="AA41" i="2" s="1"/>
  <c r="M42" i="2"/>
  <c r="AA42" i="2" s="1"/>
  <c r="M43" i="2"/>
  <c r="AA43" i="2" s="1"/>
  <c r="M44" i="2"/>
  <c r="AA44" i="2" s="1"/>
  <c r="M45" i="2"/>
  <c r="AA45" i="2" s="1"/>
  <c r="M46" i="2"/>
  <c r="AA46" i="2" s="1"/>
  <c r="M47" i="2"/>
  <c r="AA47" i="2" s="1"/>
  <c r="M48" i="2"/>
  <c r="AA48" i="2" s="1"/>
  <c r="M49" i="2"/>
  <c r="AA49" i="2" s="1"/>
  <c r="M50" i="2"/>
  <c r="AA50" i="2" s="1"/>
  <c r="M51" i="2"/>
  <c r="AA51" i="2" s="1"/>
  <c r="M52" i="2"/>
  <c r="AA52" i="2" s="1"/>
  <c r="M53" i="2"/>
  <c r="AA53" i="2" s="1"/>
  <c r="M54" i="2"/>
  <c r="AA54" i="2" s="1"/>
  <c r="M55" i="2"/>
  <c r="AA55" i="2" s="1"/>
  <c r="M56" i="2"/>
  <c r="AA56" i="2" s="1"/>
  <c r="M57" i="2"/>
  <c r="AA57" i="2" s="1"/>
  <c r="M58" i="2"/>
  <c r="AA58" i="2" s="1"/>
  <c r="M59" i="2"/>
  <c r="AA59" i="2" s="1"/>
  <c r="M60" i="2"/>
  <c r="AA60" i="2" s="1"/>
  <c r="M61" i="2"/>
  <c r="AA61" i="2" s="1"/>
  <c r="M62" i="2"/>
  <c r="AA62" i="2" s="1"/>
  <c r="M63" i="2"/>
  <c r="AA63" i="2" s="1"/>
  <c r="M64" i="2"/>
  <c r="AA64" i="2" s="1"/>
  <c r="M65" i="2"/>
  <c r="AA65" i="2" s="1"/>
  <c r="M66" i="2"/>
  <c r="AA66" i="2" s="1"/>
  <c r="M67" i="2"/>
  <c r="AA67" i="2" s="1"/>
  <c r="M68" i="2"/>
  <c r="AA68" i="2" s="1"/>
  <c r="M69" i="2"/>
  <c r="AA69" i="2" s="1"/>
  <c r="M70" i="2"/>
  <c r="AA70" i="2" s="1"/>
  <c r="M71" i="2"/>
  <c r="AA71" i="2" s="1"/>
  <c r="M72" i="2"/>
  <c r="AA72" i="2" s="1"/>
  <c r="M73" i="2"/>
  <c r="AA73" i="2" s="1"/>
  <c r="M74" i="2"/>
  <c r="AA74" i="2" s="1"/>
  <c r="M75" i="2"/>
  <c r="AA75" i="2" s="1"/>
  <c r="M76" i="2"/>
  <c r="AA76" i="2" s="1"/>
  <c r="M77" i="2"/>
  <c r="AA77" i="2" s="1"/>
  <c r="Z57" i="2" l="1"/>
  <c r="AB57" i="2" s="1"/>
  <c r="Z53" i="2"/>
  <c r="AB53" i="2" s="1"/>
  <c r="Z56" i="2"/>
  <c r="AB56" i="2" s="1"/>
  <c r="Z77" i="2"/>
  <c r="AB77" i="2" s="1"/>
  <c r="Z75" i="2"/>
  <c r="AB75" i="2" s="1"/>
  <c r="Z42" i="2"/>
  <c r="AB42" i="2" s="1"/>
  <c r="Z26" i="2"/>
  <c r="AB26" i="2" s="1"/>
  <c r="Z10" i="2"/>
  <c r="AB10" i="2" s="1"/>
  <c r="Z70" i="2"/>
  <c r="AB70" i="2" s="1"/>
  <c r="Z71" i="2"/>
  <c r="AB71" i="2" s="1"/>
  <c r="Z49" i="2"/>
  <c r="AB49" i="2" s="1"/>
  <c r="Z47" i="2"/>
  <c r="AB47" i="2" s="1"/>
  <c r="Z45" i="2"/>
  <c r="AB45" i="2" s="1"/>
  <c r="Z33" i="2"/>
  <c r="AB33" i="2" s="1"/>
  <c r="Z31" i="2"/>
  <c r="AB31" i="2" s="1"/>
  <c r="Z29" i="2"/>
  <c r="AB29" i="2" s="1"/>
  <c r="Z17" i="2"/>
  <c r="AB17" i="2" s="1"/>
  <c r="Z15" i="2"/>
  <c r="AB15" i="2" s="1"/>
  <c r="Z13" i="2"/>
  <c r="AB13" i="2" s="1"/>
  <c r="Z9" i="2"/>
  <c r="AB9" i="2" s="1"/>
  <c r="Z58" i="2"/>
  <c r="AB58" i="2" s="1"/>
  <c r="Z40" i="2"/>
  <c r="AB40" i="2" s="1"/>
  <c r="Z24" i="2"/>
  <c r="AB24" i="2" s="1"/>
  <c r="Z8" i="2"/>
  <c r="AB8" i="2" s="1"/>
  <c r="Z65" i="2"/>
  <c r="AB65" i="2" s="1"/>
  <c r="Z63" i="2"/>
  <c r="AB63" i="2" s="1"/>
  <c r="Z61" i="2"/>
  <c r="AB61" i="2" s="1"/>
  <c r="Z41" i="2"/>
  <c r="AB41" i="2" s="1"/>
  <c r="Z37" i="2"/>
  <c r="AB37" i="2" s="1"/>
  <c r="Z25" i="2"/>
  <c r="AB25" i="2" s="1"/>
  <c r="Z21" i="2"/>
  <c r="AB21" i="2" s="1"/>
  <c r="Z72" i="2"/>
  <c r="AB72" i="2" s="1"/>
  <c r="Z66" i="2"/>
  <c r="AB66" i="2" s="1"/>
  <c r="Z64" i="2"/>
  <c r="AB64" i="2" s="1"/>
  <c r="Z55" i="2"/>
  <c r="AB55" i="2" s="1"/>
  <c r="Z34" i="2"/>
  <c r="AB34" i="2" s="1"/>
  <c r="Z32" i="2"/>
  <c r="AB32" i="2" s="1"/>
  <c r="Z23" i="2"/>
  <c r="AB23" i="2" s="1"/>
  <c r="Z50" i="2"/>
  <c r="AB50" i="2" s="1"/>
  <c r="Z48" i="2"/>
  <c r="AB48" i="2" s="1"/>
  <c r="Z39" i="2"/>
  <c r="AB39" i="2" s="1"/>
  <c r="Z18" i="2"/>
  <c r="AB18" i="2" s="1"/>
  <c r="Z16" i="2"/>
  <c r="AB16" i="2" s="1"/>
  <c r="Z7" i="2"/>
  <c r="AB7" i="2" s="1"/>
  <c r="Z74" i="2"/>
  <c r="AB74" i="2" s="1"/>
  <c r="Z73" i="2"/>
  <c r="AB73" i="2" s="1"/>
  <c r="Z69" i="2"/>
  <c r="AB69" i="2" s="1"/>
  <c r="Z60" i="2"/>
  <c r="AB60" i="2" s="1"/>
  <c r="Z59" i="2"/>
  <c r="AB59" i="2" s="1"/>
  <c r="Z54" i="2"/>
  <c r="AB54" i="2" s="1"/>
  <c r="Z44" i="2"/>
  <c r="AB44" i="2" s="1"/>
  <c r="Z43" i="2"/>
  <c r="AB43" i="2" s="1"/>
  <c r="Z38" i="2"/>
  <c r="AB38" i="2" s="1"/>
  <c r="Z28" i="2"/>
  <c r="AB28" i="2" s="1"/>
  <c r="Z27" i="2"/>
  <c r="AB27" i="2" s="1"/>
  <c r="Z22" i="2"/>
  <c r="AB22" i="2" s="1"/>
  <c r="Z12" i="2"/>
  <c r="AB12" i="2" s="1"/>
  <c r="Z11" i="2"/>
  <c r="AB11" i="2" s="1"/>
  <c r="Z6" i="2"/>
  <c r="AB6" i="2" s="1"/>
  <c r="Z76" i="2"/>
  <c r="AB76" i="2" s="1"/>
  <c r="Z68" i="2"/>
  <c r="AB68" i="2" s="1"/>
  <c r="Z67" i="2"/>
  <c r="AB67" i="2" s="1"/>
  <c r="Z62" i="2"/>
  <c r="AB62" i="2" s="1"/>
  <c r="Z52" i="2"/>
  <c r="AB52" i="2" s="1"/>
  <c r="Z51" i="2"/>
  <c r="AB51" i="2" s="1"/>
  <c r="Z46" i="2"/>
  <c r="AB46" i="2" s="1"/>
  <c r="Z36" i="2"/>
  <c r="AB36" i="2" s="1"/>
  <c r="Z35" i="2"/>
  <c r="AB35" i="2" s="1"/>
  <c r="Z30" i="2"/>
  <c r="AB30" i="2" s="1"/>
  <c r="Z20" i="2"/>
  <c r="AB20" i="2" s="1"/>
  <c r="Z19" i="2"/>
  <c r="AB19" i="2" s="1"/>
  <c r="Z14" i="2"/>
  <c r="AB14" i="2" s="1"/>
  <c r="Y5" i="2" l="1"/>
  <c r="X5" i="2"/>
  <c r="AO7" i="2"/>
  <c r="AO8" i="2" s="1"/>
  <c r="AO9" i="2" s="1"/>
  <c r="AO10" i="2" s="1"/>
  <c r="AO11" i="2" s="1"/>
  <c r="AO12" i="2" s="1"/>
  <c r="AO13" i="2" s="1"/>
  <c r="AO14" i="2" s="1"/>
  <c r="AO15" i="2" s="1"/>
  <c r="AI7" i="2"/>
  <c r="M5" i="2"/>
  <c r="AA5" i="2" s="1"/>
  <c r="Y4" i="2"/>
  <c r="X4" i="2"/>
  <c r="AE8" i="2"/>
  <c r="AD9" i="2"/>
  <c r="AE9" i="2" s="1"/>
  <c r="AH5" i="2"/>
  <c r="AG5" i="2"/>
  <c r="AF5" i="2"/>
  <c r="AE5" i="2"/>
  <c r="AD5" i="2"/>
  <c r="AL7" i="2" l="1"/>
  <c r="Z5" i="2"/>
  <c r="AB5" i="2" s="1"/>
  <c r="AK7" i="2"/>
  <c r="AI8" i="2"/>
  <c r="AM6" i="2"/>
  <c r="AK6" i="2"/>
  <c r="AM7" i="2"/>
  <c r="AD10" i="2"/>
  <c r="AD11" i="2" s="1"/>
  <c r="AR7" i="2" l="1"/>
  <c r="AQ6" i="2"/>
  <c r="AS6" i="2"/>
  <c r="AS7" i="2"/>
  <c r="AQ7" i="2"/>
  <c r="AK8" i="2"/>
  <c r="AQ8" i="2" s="1"/>
  <c r="AI9" i="2"/>
  <c r="AL8" i="2"/>
  <c r="AR8" i="2" s="1"/>
  <c r="AD12" i="2"/>
  <c r="AE11" i="2"/>
  <c r="AE10" i="2"/>
  <c r="D4" i="5"/>
  <c r="P4" i="5" s="1"/>
  <c r="AI10" i="2" l="1"/>
  <c r="AL9" i="2"/>
  <c r="AR9" i="2" s="1"/>
  <c r="AK9" i="2"/>
  <c r="AQ9" i="2" s="1"/>
  <c r="AD13" i="2"/>
  <c r="AE12" i="2"/>
  <c r="E4" i="5"/>
  <c r="AI11" i="2" l="1"/>
  <c r="AL10" i="2"/>
  <c r="AR10" i="2" s="1"/>
  <c r="AM10" i="2"/>
  <c r="AS10" i="2" s="1"/>
  <c r="AK10" i="2"/>
  <c r="AQ10" i="2" s="1"/>
  <c r="AD14" i="2"/>
  <c r="AE13" i="2"/>
  <c r="Q4" i="5"/>
  <c r="F4" i="5"/>
  <c r="AI12" i="2" l="1"/>
  <c r="AM11" i="2"/>
  <c r="AS11" i="2" s="1"/>
  <c r="AK11" i="2"/>
  <c r="AQ11" i="2" s="1"/>
  <c r="AL11" i="2"/>
  <c r="AR11" i="2" s="1"/>
  <c r="AD15" i="2"/>
  <c r="AE14" i="2"/>
  <c r="G4" i="5"/>
  <c r="S4" i="5" s="1"/>
  <c r="R4" i="5"/>
  <c r="A5" i="2"/>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I13" i="2" l="1"/>
  <c r="AK12" i="2"/>
  <c r="AQ12" i="2" s="1"/>
  <c r="AL12" i="2"/>
  <c r="AR12" i="2" s="1"/>
  <c r="AD16" i="2"/>
  <c r="AE15" i="2"/>
  <c r="H4" i="5"/>
  <c r="T4" i="5" s="1"/>
  <c r="AI14" i="2" l="1"/>
  <c r="AM13" i="2"/>
  <c r="AS13" i="2" s="1"/>
  <c r="AL13" i="2"/>
  <c r="AR13" i="2" s="1"/>
  <c r="AK13" i="2"/>
  <c r="AQ13" i="2" s="1"/>
  <c r="AD17" i="2"/>
  <c r="AE16" i="2"/>
  <c r="AI15" i="2" l="1"/>
  <c r="AM14" i="2"/>
  <c r="AS14" i="2" s="1"/>
  <c r="AL14" i="2"/>
  <c r="AR14" i="2" s="1"/>
  <c r="AK14" i="2"/>
  <c r="AQ14" i="2" s="1"/>
  <c r="AD18" i="2"/>
  <c r="AE18" i="2" s="1"/>
  <c r="AE17" i="2"/>
  <c r="AL15" i="2" l="1"/>
  <c r="AR15" i="2" s="1"/>
  <c r="AM15" i="2"/>
  <c r="AS15" i="2" s="1"/>
  <c r="M27" i="5" l="1"/>
  <c r="Y27" i="5" l="1"/>
  <c r="Y29" i="5" s="1"/>
  <c r="Z29" i="5" s="1"/>
  <c r="AA27" i="5" l="1"/>
  <c r="M29" i="5" s="1"/>
  <c r="N29" i="5" s="1"/>
</calcChain>
</file>

<file path=xl/sharedStrings.xml><?xml version="1.0" encoding="utf-8"?>
<sst xmlns="http://schemas.openxmlformats.org/spreadsheetml/2006/main" count="859" uniqueCount="118">
  <si>
    <t>QS</t>
  </si>
  <si>
    <t>QD</t>
  </si>
  <si>
    <t>5D</t>
  </si>
  <si>
    <t>6D</t>
  </si>
  <si>
    <t>10H</t>
  </si>
  <si>
    <t>High Card</t>
  </si>
  <si>
    <t>Pair</t>
  </si>
  <si>
    <t>Triple</t>
  </si>
  <si>
    <t>2 Pair</t>
  </si>
  <si>
    <t>Full House</t>
  </si>
  <si>
    <t>5C</t>
  </si>
  <si>
    <t>Hand</t>
  </si>
  <si>
    <t>KH</t>
  </si>
  <si>
    <t>KC</t>
  </si>
  <si>
    <t>KS</t>
  </si>
  <si>
    <t>KD</t>
  </si>
  <si>
    <t>P1C1</t>
  </si>
  <si>
    <t>P1C2</t>
  </si>
  <si>
    <t>P1C3</t>
  </si>
  <si>
    <t>P1C4</t>
  </si>
  <si>
    <t>P1C5</t>
  </si>
  <si>
    <t>AS</t>
  </si>
  <si>
    <t>10S</t>
  </si>
  <si>
    <t>JS</t>
  </si>
  <si>
    <t>6S</t>
  </si>
  <si>
    <t>8S</t>
  </si>
  <si>
    <t>8D</t>
  </si>
  <si>
    <t>8H</t>
  </si>
  <si>
    <t>4D</t>
  </si>
  <si>
    <t>8C</t>
  </si>
  <si>
    <t>JC</t>
  </si>
  <si>
    <t>9H</t>
  </si>
  <si>
    <t>5S</t>
  </si>
  <si>
    <t>JD</t>
  </si>
  <si>
    <t>9D</t>
  </si>
  <si>
    <t>9S</t>
  </si>
  <si>
    <t>AD</t>
  </si>
  <si>
    <t>2S</t>
  </si>
  <si>
    <t>AC</t>
  </si>
  <si>
    <t>QH</t>
  </si>
  <si>
    <t>QC</t>
  </si>
  <si>
    <t>3H</t>
  </si>
  <si>
    <t>4S</t>
  </si>
  <si>
    <t>9C</t>
  </si>
  <si>
    <t>2C</t>
  </si>
  <si>
    <t>7C</t>
  </si>
  <si>
    <t>AH</t>
  </si>
  <si>
    <t>6C</t>
  </si>
  <si>
    <t>3S</t>
  </si>
  <si>
    <t>JH</t>
  </si>
  <si>
    <t>2D</t>
  </si>
  <si>
    <t>10D</t>
  </si>
  <si>
    <t>4C</t>
  </si>
  <si>
    <t>10C</t>
  </si>
  <si>
    <t>6H</t>
  </si>
  <si>
    <t>7H</t>
  </si>
  <si>
    <t>3C</t>
  </si>
  <si>
    <t>2H</t>
  </si>
  <si>
    <t>5H</t>
  </si>
  <si>
    <t>4H</t>
  </si>
  <si>
    <t>7S</t>
  </si>
  <si>
    <t>7D</t>
  </si>
  <si>
    <t>3D</t>
  </si>
  <si>
    <t>Straight Flush</t>
  </si>
  <si>
    <t>Flush</t>
  </si>
  <si>
    <t>Score</t>
  </si>
  <si>
    <t>Royal Flush</t>
  </si>
  <si>
    <t>Four of a Kind</t>
  </si>
  <si>
    <t>Possible Hands</t>
  </si>
  <si>
    <t xml:space="preserve">Outcome </t>
  </si>
  <si>
    <t>Straight</t>
  </si>
  <si>
    <t>Stronger</t>
  </si>
  <si>
    <t>Working Area</t>
  </si>
  <si>
    <t>Winner</t>
  </si>
  <si>
    <t>Player 1</t>
  </si>
  <si>
    <t>Player 2</t>
  </si>
  <si>
    <t>Result</t>
  </si>
  <si>
    <t>Cards</t>
  </si>
  <si>
    <t>P2C2</t>
  </si>
  <si>
    <t>P2C1</t>
  </si>
  <si>
    <t>P2C3</t>
  </si>
  <si>
    <t>P2C4</t>
  </si>
  <si>
    <t>P2C5</t>
  </si>
  <si>
    <t>Highest Hand</t>
  </si>
  <si>
    <t>Strongest Hand</t>
  </si>
  <si>
    <t>Score1</t>
  </si>
  <si>
    <t>Score2</t>
  </si>
  <si>
    <t>Dead Heats</t>
  </si>
  <si>
    <t>Test Result</t>
  </si>
  <si>
    <t>Marks</t>
  </si>
  <si>
    <t>Category</t>
  </si>
  <si>
    <t>Tie/DH</t>
  </si>
  <si>
    <t>Correct</t>
  </si>
  <si>
    <t>Tie Break</t>
  </si>
  <si>
    <t>Dead Heat</t>
  </si>
  <si>
    <t>Tie</t>
  </si>
  <si>
    <t>DH</t>
  </si>
  <si>
    <t>Correct Cat</t>
  </si>
  <si>
    <t>Clear Win</t>
  </si>
  <si>
    <t>Key</t>
  </si>
  <si>
    <t>Step 1</t>
  </si>
  <si>
    <t>Step 2</t>
  </si>
  <si>
    <t>Step 3</t>
  </si>
  <si>
    <t xml:space="preserve">Sorted Cards </t>
  </si>
  <si>
    <t>Important</t>
  </si>
  <si>
    <t>Total Correct</t>
  </si>
  <si>
    <t>Question Mark</t>
  </si>
  <si>
    <t>Question Percent</t>
  </si>
  <si>
    <t>/30</t>
  </si>
  <si>
    <t>An area specifically set aside for you to do working calculations.</t>
  </si>
  <si>
    <t>A cell where you are required to enter a formula.</t>
  </si>
  <si>
    <t xml:space="preserve">Blank cells may be used by the contestant to do workings. </t>
  </si>
  <si>
    <t>/25</t>
  </si>
  <si>
    <t xml:space="preserve">2. When using the answer template, you may insert rows and columns. However, when doing so, you must not insert or delete rows or columns that affect the yellow or green shaded ranges. </t>
  </si>
  <si>
    <t xml:space="preserve">An assumption cell. </t>
  </si>
  <si>
    <t>T/F</t>
  </si>
  <si>
    <t>1. To complete the question, you need to insert a formula in each of the green cells, the workbook logic will do the rest. You can use the grey cells (or the white cells if you need more space) to do any interim calculations.</t>
  </si>
  <si>
    <t>Indicates the area on the answer template associated with question steps.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</si>
</sst>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1"/>
      <name val="Calibri"/>
      <family val="2"/>
      <scheme val="minor"/>
    </font>
    <font>
      <sz val="11"/>
      <color rgb="FF000000"/>
      <name val="Calibri"/>
      <family val="2"/>
    </font>
    <font>
      <b/>
      <sz val="20"/>
      <color theme="1"/>
      <name val="Calibri"/>
      <family val="2"/>
      <scheme val="minor"/>
    </font>
    <font>
      <sz val="8"/>
      <color theme="1"/>
      <name val="Calibri"/>
      <family val="2"/>
      <scheme val="minor"/>
    </font>
    <font>
      <b/>
      <sz val="14"/>
      <color theme="1"/>
      <name val="Calibri"/>
      <family val="2"/>
      <scheme val="minor"/>
    </font>
    <font>
      <sz val="14"/>
      <color theme="1"/>
      <name val="Calibri"/>
      <family val="2"/>
      <scheme val="minor"/>
    </font>
    <font>
      <b/>
      <u/>
      <sz val="11"/>
      <color theme="1"/>
      <name val="Calibri"/>
      <family val="2"/>
      <scheme val="minor"/>
    </font>
    <font>
      <sz val="11"/>
      <color rgb="FFFF0000"/>
      <name val="Calibri"/>
      <family val="2"/>
      <scheme val="minor"/>
    </font>
    <font>
      <b/>
      <sz val="22"/>
      <color theme="1"/>
      <name val="Calibri"/>
      <family val="2"/>
      <scheme val="minor"/>
    </font>
    <font>
      <i/>
      <sz val="11"/>
      <color theme="1"/>
      <name val="Calibri"/>
      <family val="2"/>
      <scheme val="minor"/>
    </font>
    <font>
      <sz val="11"/>
      <color rgb="FFC00000"/>
      <name val="Calibri"/>
      <family val="2"/>
      <scheme val="minor"/>
    </font>
    <font>
      <sz val="8"/>
      <color rgb="FFFF0000"/>
      <name val="Calibri"/>
      <family val="2"/>
      <scheme val="minor"/>
    </font>
    <font>
      <i/>
      <sz val="8"/>
      <color theme="1"/>
      <name val="Calibri"/>
      <family val="2"/>
      <scheme val="minor"/>
    </font>
  </fonts>
  <fills count="10">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9" tint="0.599963377788628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5" tint="0.79998168889431442"/>
        <bgColor indexed="64"/>
      </patternFill>
    </fill>
    <fill>
      <patternFill patternType="solid">
        <fgColor theme="0"/>
        <bgColor indexed="64"/>
      </patternFill>
    </fill>
  </fills>
  <borders count="6">
    <border>
      <left/>
      <right/>
      <top/>
      <bottom/>
      <diagonal/>
    </border>
    <border>
      <left style="thin">
        <color auto="1"/>
      </left>
      <right style="thin">
        <color auto="1"/>
      </right>
      <top style="thin">
        <color auto="1"/>
      </top>
      <bottom style="thin">
        <color auto="1"/>
      </bottom>
      <diagonal/>
    </border>
    <border>
      <left/>
      <right/>
      <top style="dashed">
        <color auto="1"/>
      </top>
      <bottom/>
      <diagonal/>
    </border>
    <border>
      <left/>
      <right/>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auto="1"/>
      </bottom>
      <diagonal/>
    </border>
  </borders>
  <cellStyleXfs count="1">
    <xf numFmtId="0" fontId="0" fillId="0" borderId="0"/>
  </cellStyleXfs>
  <cellXfs count="59">
    <xf numFmtId="0" fontId="0" fillId="0" borderId="0" xfId="0"/>
    <xf numFmtId="0" fontId="0" fillId="0" borderId="0" xfId="0" applyAlignment="1">
      <alignment horizontal="center"/>
    </xf>
    <xf numFmtId="0" fontId="1" fillId="0" borderId="0" xfId="0" applyFont="1"/>
    <xf numFmtId="0" fontId="1" fillId="0" borderId="0" xfId="0" applyFont="1" applyAlignment="1">
      <alignment horizontal="center"/>
    </xf>
    <xf numFmtId="0" fontId="1" fillId="2" borderId="0" xfId="0" applyFont="1" applyFill="1"/>
    <xf numFmtId="0" fontId="0" fillId="3" borderId="0" xfId="0" applyFill="1" applyAlignment="1">
      <alignment horizontal="center"/>
    </xf>
    <xf numFmtId="0" fontId="0" fillId="3" borderId="0" xfId="0" applyFill="1" applyAlignment="1">
      <alignment horizontal="center" vertical="center"/>
    </xf>
    <xf numFmtId="0" fontId="0" fillId="0" borderId="0" xfId="0" applyFill="1" applyAlignment="1">
      <alignment horizontal="center"/>
    </xf>
    <xf numFmtId="0" fontId="1" fillId="0" borderId="0" xfId="0" applyFont="1" applyAlignment="1">
      <alignment horizontal="right"/>
    </xf>
    <xf numFmtId="0" fontId="0" fillId="4" borderId="0" xfId="0" applyFill="1" applyBorder="1" applyAlignment="1">
      <alignment horizontal="center"/>
    </xf>
    <xf numFmtId="0" fontId="0" fillId="5" borderId="0" xfId="0" applyFill="1" applyAlignment="1">
      <alignment horizontal="center"/>
    </xf>
    <xf numFmtId="0" fontId="0" fillId="5" borderId="0" xfId="0" applyFill="1"/>
    <xf numFmtId="0" fontId="4" fillId="0" borderId="0" xfId="0" applyFont="1" applyAlignment="1">
      <alignment horizontal="left"/>
    </xf>
    <xf numFmtId="0" fontId="0" fillId="4" borderId="0" xfId="0" applyFill="1" applyAlignment="1">
      <alignment horizontal="center"/>
    </xf>
    <xf numFmtId="0" fontId="0" fillId="0" borderId="0" xfId="0" applyFill="1" applyBorder="1"/>
    <xf numFmtId="0" fontId="0" fillId="0" borderId="0" xfId="0" applyFill="1" applyBorder="1" applyAlignment="1">
      <alignment horizontal="center"/>
    </xf>
    <xf numFmtId="0" fontId="5" fillId="0" borderId="3" xfId="0" applyFont="1" applyFill="1" applyBorder="1" applyAlignment="1">
      <alignment horizontal="centerContinuous" vertical="center"/>
    </xf>
    <xf numFmtId="0" fontId="6" fillId="0" borderId="3" xfId="0" applyFont="1" applyBorder="1" applyAlignment="1">
      <alignment horizontal="centerContinuous" vertical="center"/>
    </xf>
    <xf numFmtId="0" fontId="0" fillId="0" borderId="3" xfId="0" applyBorder="1" applyAlignment="1">
      <alignment horizontal="centerContinuous"/>
    </xf>
    <xf numFmtId="0" fontId="7" fillId="0" borderId="0" xfId="0" applyFont="1" applyFill="1" applyAlignment="1">
      <alignment horizontal="centerContinuous"/>
    </xf>
    <xf numFmtId="0" fontId="0" fillId="0" borderId="4" xfId="0" applyBorder="1"/>
    <xf numFmtId="0" fontId="1" fillId="0" borderId="4" xfId="0" applyFont="1" applyBorder="1" applyAlignment="1">
      <alignment horizontal="center"/>
    </xf>
    <xf numFmtId="0" fontId="0" fillId="7" borderId="4" xfId="0" applyFill="1" applyBorder="1"/>
    <xf numFmtId="0" fontId="0" fillId="6" borderId="1" xfId="0" applyFill="1" applyBorder="1" applyAlignment="1">
      <alignment horizontal="center"/>
    </xf>
    <xf numFmtId="0" fontId="0" fillId="0" borderId="5" xfId="0" applyBorder="1"/>
    <xf numFmtId="0" fontId="0" fillId="0" borderId="3" xfId="0" applyBorder="1"/>
    <xf numFmtId="0" fontId="0" fillId="4" borderId="1" xfId="0" applyFill="1" applyBorder="1" applyAlignment="1">
      <alignment horizontal="center"/>
    </xf>
    <xf numFmtId="0" fontId="0" fillId="5" borderId="1" xfId="0" applyFill="1" applyBorder="1" applyAlignment="1">
      <alignment horizontal="center"/>
    </xf>
    <xf numFmtId="0" fontId="0" fillId="0" borderId="1" xfId="0" applyBorder="1"/>
    <xf numFmtId="0" fontId="0" fillId="0" borderId="0" xfId="0" applyAlignment="1">
      <alignment wrapText="1"/>
    </xf>
    <xf numFmtId="0" fontId="1" fillId="0" borderId="5" xfId="0" applyFont="1" applyBorder="1"/>
    <xf numFmtId="0" fontId="9" fillId="0" borderId="0" xfId="0" applyFont="1" applyBorder="1" applyAlignment="1">
      <alignment vertical="center"/>
    </xf>
    <xf numFmtId="0" fontId="0" fillId="0" borderId="0" xfId="0" applyBorder="1" applyAlignment="1">
      <alignment vertical="center"/>
    </xf>
    <xf numFmtId="0" fontId="0" fillId="0" borderId="0" xfId="0" applyBorder="1"/>
    <xf numFmtId="0" fontId="0" fillId="0" borderId="0" xfId="0" applyBorder="1" applyAlignment="1">
      <alignment horizontal="center"/>
    </xf>
    <xf numFmtId="0" fontId="9" fillId="0" borderId="5" xfId="0" applyFont="1" applyBorder="1" applyAlignment="1">
      <alignment vertical="center"/>
    </xf>
    <xf numFmtId="0" fontId="0" fillId="0" borderId="3" xfId="0" applyBorder="1" applyAlignment="1">
      <alignment vertical="center"/>
    </xf>
    <xf numFmtId="0" fontId="0" fillId="0" borderId="3" xfId="0" applyBorder="1" applyAlignment="1">
      <alignment horizontal="center"/>
    </xf>
    <xf numFmtId="0" fontId="3" fillId="0" borderId="3" xfId="0" applyFont="1" applyFill="1" applyBorder="1" applyAlignment="1">
      <alignment horizontal="center" vertical="center"/>
    </xf>
    <xf numFmtId="0" fontId="10" fillId="0" borderId="3" xfId="0" applyFont="1" applyBorder="1" applyAlignment="1">
      <alignment vertical="center"/>
    </xf>
    <xf numFmtId="0" fontId="10" fillId="0" borderId="0" xfId="0" applyFont="1" applyAlignment="1">
      <alignment horizontal="center"/>
    </xf>
    <xf numFmtId="0" fontId="8" fillId="0" borderId="0" xfId="0" applyFont="1"/>
    <xf numFmtId="0" fontId="12" fillId="0" borderId="0" xfId="0" applyFont="1"/>
    <xf numFmtId="0" fontId="12" fillId="0" borderId="0" xfId="0" applyFont="1" applyAlignment="1">
      <alignment horizontal="center"/>
    </xf>
    <xf numFmtId="0" fontId="0" fillId="8" borderId="0" xfId="0" applyFill="1" applyAlignment="1">
      <alignment horizontal="center"/>
    </xf>
    <xf numFmtId="0" fontId="0" fillId="8" borderId="0" xfId="0" applyFill="1" applyAlignment="1">
      <alignment horizontal="center" vertical="center"/>
    </xf>
    <xf numFmtId="0" fontId="0" fillId="9" borderId="4" xfId="0" applyFill="1" applyBorder="1"/>
    <xf numFmtId="9" fontId="8" fillId="0" borderId="4" xfId="0" applyNumberFormat="1" applyFont="1" applyBorder="1" applyAlignment="1">
      <alignment horizontal="center"/>
    </xf>
    <xf numFmtId="0" fontId="8" fillId="7" borderId="4" xfId="0" applyFont="1" applyFill="1" applyBorder="1" applyAlignment="1">
      <alignment horizontal="center"/>
    </xf>
    <xf numFmtId="0" fontId="0" fillId="0" borderId="0" xfId="0" applyAlignment="1">
      <alignment wrapText="1"/>
    </xf>
    <xf numFmtId="3" fontId="1" fillId="0" borderId="1" xfId="0" applyNumberFormat="1" applyFont="1" applyBorder="1"/>
    <xf numFmtId="164" fontId="1" fillId="0" borderId="1" xfId="0" applyNumberFormat="1" applyFont="1" applyBorder="1"/>
    <xf numFmtId="0" fontId="0" fillId="0" borderId="0" xfId="0" quotePrefix="1" applyFont="1"/>
    <xf numFmtId="0" fontId="0" fillId="0" borderId="0" xfId="0" applyFont="1"/>
    <xf numFmtId="0" fontId="1" fillId="0" borderId="2" xfId="0" applyFont="1" applyBorder="1" applyAlignment="1">
      <alignment horizontal="center"/>
    </xf>
    <xf numFmtId="0" fontId="0" fillId="0" borderId="2" xfId="0" applyBorder="1" applyAlignment="1">
      <alignment horizontal="center"/>
    </xf>
    <xf numFmtId="0" fontId="13" fillId="0" borderId="0" xfId="0" applyFont="1"/>
    <xf numFmtId="0" fontId="11" fillId="0" borderId="0" xfId="0" applyFont="1" applyFill="1" applyBorder="1" applyAlignment="1">
      <alignment wrapText="1"/>
    </xf>
    <xf numFmtId="0" fontId="11" fillId="0" borderId="0" xfId="0" applyFont="1" applyAlignment="1">
      <alignment wrapText="1"/>
    </xf>
  </cellXfs>
  <cellStyles count="1">
    <cellStyle name="Normal" xfId="0" builtinId="0"/>
  </cellStyles>
  <dxfs count="6">
    <dxf>
      <font>
        <b/>
        <i val="0"/>
        <color rgb="FF00B050"/>
      </font>
    </dxf>
    <dxf>
      <font>
        <color theme="5" tint="-0.24994659260841701"/>
      </font>
    </dxf>
    <dxf>
      <font>
        <b/>
        <i val="0"/>
        <color rgb="FF00B050"/>
      </font>
    </dxf>
    <dxf>
      <font>
        <color theme="5" tint="-0.24994659260841701"/>
      </font>
    </dxf>
    <dxf>
      <font>
        <b/>
        <i val="0"/>
        <color rgb="FF00B050"/>
      </font>
    </dxf>
    <dxf>
      <font>
        <color theme="5"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120628</xdr:colOff>
      <xdr:row>2</xdr:row>
      <xdr:rowOff>66675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339828" cy="447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925210</xdr:colOff>
      <xdr:row>2</xdr:row>
      <xdr:rowOff>66675</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339828" cy="447675"/>
        </a:xfrm>
        <a:prstGeom prst="rect">
          <a:avLst/>
        </a:prstGeom>
      </xdr:spPr>
    </xdr:pic>
    <xdr:clientData/>
  </xdr:twoCellAnchor>
  <xdr:twoCellAnchor>
    <xdr:from>
      <xdr:col>0</xdr:col>
      <xdr:colOff>0</xdr:colOff>
      <xdr:row>15</xdr:row>
      <xdr:rowOff>180979</xdr:rowOff>
    </xdr:from>
    <xdr:to>
      <xdr:col>1</xdr:col>
      <xdr:colOff>95250</xdr:colOff>
      <xdr:row>26</xdr:row>
      <xdr:rowOff>19051</xdr:rowOff>
    </xdr:to>
    <xdr:sp macro="" textlink="">
      <xdr:nvSpPr>
        <xdr:cNvPr id="8" name="Right Arrow 7"/>
        <xdr:cNvSpPr/>
      </xdr:nvSpPr>
      <xdr:spPr>
        <a:xfrm rot="5400000">
          <a:off x="-552448" y="3486152"/>
          <a:ext cx="1933572" cy="828675"/>
        </a:xfrm>
        <a:prstGeom prst="rightArrow">
          <a:avLst>
            <a:gd name="adj1" fmla="val 70968"/>
            <a:gd name="adj2" fmla="val 3225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n-AU" sz="900" b="1"/>
            <a:t>Tip:</a:t>
          </a:r>
          <a:r>
            <a:rPr lang="en-AU" sz="900"/>
            <a:t> Complete from the top down. </a:t>
          </a:r>
          <a:r>
            <a:rPr lang="en-AU" sz="900" baseline="0"/>
            <a:t>Mark your worbook as you go to check your progress.</a:t>
          </a:r>
          <a:endParaRPr lang="en-AU" sz="9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0</xdr:row>
          <xdr:rowOff>123825</xdr:rowOff>
        </xdr:from>
        <xdr:to>
          <xdr:col>3</xdr:col>
          <xdr:colOff>685800</xdr:colOff>
          <xdr:row>2</xdr:row>
          <xdr:rowOff>28575</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Mark!</a:t>
              </a:r>
            </a:p>
          </xdr:txBody>
        </xdr:sp>
        <xdr:clientData fPrintsWithSheet="0"/>
      </xdr:twoCellAnchor>
    </mc:Choice>
    <mc:Fallback/>
  </mc:AlternateContent>
  <xdr:twoCellAnchor editAs="oneCell">
    <xdr:from>
      <xdr:col>0</xdr:col>
      <xdr:colOff>0</xdr:colOff>
      <xdr:row>0</xdr:row>
      <xdr:rowOff>9525</xdr:rowOff>
    </xdr:from>
    <xdr:to>
      <xdr:col>1</xdr:col>
      <xdr:colOff>455411</xdr:colOff>
      <xdr:row>2</xdr:row>
      <xdr:rowOff>79668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9525"/>
          <a:ext cx="1341236" cy="451143"/>
        </a:xfrm>
        <a:prstGeom prst="rect">
          <a:avLst/>
        </a:prstGeom>
      </xdr:spPr>
    </xdr:pic>
    <xdr:clientData/>
  </xdr:twoCellAnchor>
  <xdr:twoCellAnchor>
    <xdr:from>
      <xdr:col>5</xdr:col>
      <xdr:colOff>257175</xdr:colOff>
      <xdr:row>4</xdr:row>
      <xdr:rowOff>180975</xdr:rowOff>
    </xdr:from>
    <xdr:to>
      <xdr:col>7</xdr:col>
      <xdr:colOff>266700</xdr:colOff>
      <xdr:row>11</xdr:row>
      <xdr:rowOff>76200</xdr:rowOff>
    </xdr:to>
    <xdr:sp macro="" textlink="">
      <xdr:nvSpPr>
        <xdr:cNvPr id="2" name="Oval 1"/>
        <xdr:cNvSpPr/>
      </xdr:nvSpPr>
      <xdr:spPr>
        <a:xfrm>
          <a:off x="3895725" y="942975"/>
          <a:ext cx="1228725" cy="1228725"/>
        </a:xfrm>
        <a:prstGeom prst="ellipse">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AU" sz="1100"/>
            <a:t>Remember to save your work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ゴシック"/>
        <a:font script="Hang" typeface="맑은 고딕"/>
        <a:font script="Hans" typeface="宋体"/>
        <a:font script="Hant" typeface="新細明體"/>
        <a:font script="Arab" typeface="Tahoma"/>
        <a:font script="Hebr" typeface="Gisha"/>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a:ea typeface=""/>
        <a:cs typeface=""/>
        <a:font script="Jpan" typeface="ＭＳ ゴシック"/>
        <a:font script="Hang" typeface="맑은 고딕"/>
        <a:font script="Hans" typeface="宋体"/>
        <a:font script="Hant" typeface="新細明體"/>
        <a:font script="Arab" typeface="Tahoma"/>
        <a:font script="Hebr" typeface="Gisha"/>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Q20"/>
  <sheetViews>
    <sheetView showGridLines="0" tabSelected="1" workbookViewId="0">
      <selection activeCell="D18" sqref="D18"/>
    </sheetView>
  </sheetViews>
  <sheetFormatPr defaultRowHeight="15" x14ac:dyDescent="0.25"/>
  <cols>
    <col min="1" max="1" width="2.140625" customWidth="1"/>
    <col min="4" max="4" width="92.28515625" customWidth="1"/>
  </cols>
  <sheetData>
    <row r="5" spans="2:17" ht="15.75" thickBot="1" x14ac:dyDescent="0.3">
      <c r="B5" s="30" t="s">
        <v>104</v>
      </c>
      <c r="C5" s="24"/>
      <c r="D5" s="25"/>
      <c r="E5" s="25"/>
      <c r="F5" s="25"/>
      <c r="G5" s="25"/>
      <c r="H5" s="25"/>
      <c r="I5" s="25"/>
      <c r="J5" s="25"/>
      <c r="K5" s="25"/>
      <c r="L5" s="25"/>
      <c r="M5" s="25"/>
      <c r="N5" s="25"/>
      <c r="O5" s="25"/>
      <c r="P5" s="25"/>
      <c r="Q5" s="25"/>
    </row>
    <row r="7" spans="2:17" ht="33" customHeight="1" x14ac:dyDescent="0.25">
      <c r="B7" s="57" t="s">
        <v>116</v>
      </c>
      <c r="C7" s="58"/>
      <c r="D7" s="58"/>
    </row>
    <row r="8" spans="2:17" ht="35.25" customHeight="1" x14ac:dyDescent="0.25">
      <c r="B8" s="57" t="s">
        <v>113</v>
      </c>
      <c r="C8" s="58"/>
      <c r="D8" s="58"/>
    </row>
    <row r="10" spans="2:17" ht="15.75" thickBot="1" x14ac:dyDescent="0.3">
      <c r="B10" s="30" t="s">
        <v>99</v>
      </c>
      <c r="C10" s="24"/>
      <c r="D10" s="25"/>
      <c r="E10" s="25"/>
      <c r="F10" s="25"/>
      <c r="G10" s="25"/>
      <c r="H10" s="25"/>
      <c r="I10" s="25"/>
      <c r="J10" s="25"/>
      <c r="K10" s="25"/>
      <c r="L10" s="25"/>
      <c r="M10" s="25"/>
      <c r="N10" s="25"/>
      <c r="O10" s="25"/>
      <c r="P10" s="25"/>
      <c r="Q10" s="25"/>
    </row>
    <row r="12" spans="2:17" x14ac:dyDescent="0.25">
      <c r="B12" s="23" t="s">
        <v>53</v>
      </c>
      <c r="D12" t="s">
        <v>114</v>
      </c>
    </row>
    <row r="13" spans="2:17" ht="8.25" customHeight="1" x14ac:dyDescent="0.25"/>
    <row r="14" spans="2:17" x14ac:dyDescent="0.25">
      <c r="B14" s="26"/>
      <c r="D14" s="53" t="s">
        <v>110</v>
      </c>
    </row>
    <row r="15" spans="2:17" ht="8.25" customHeight="1" x14ac:dyDescent="0.25"/>
    <row r="16" spans="2:17" x14ac:dyDescent="0.25">
      <c r="B16" s="27"/>
      <c r="D16" t="s">
        <v>109</v>
      </c>
    </row>
    <row r="17" spans="2:4" ht="6.75" customHeight="1" x14ac:dyDescent="0.25"/>
    <row r="18" spans="2:4" x14ac:dyDescent="0.25">
      <c r="B18" s="28"/>
      <c r="D18" s="49" t="s">
        <v>111</v>
      </c>
    </row>
    <row r="19" spans="2:4" ht="6" customHeight="1" x14ac:dyDescent="0.25">
      <c r="D19" s="29"/>
    </row>
    <row r="20" spans="2:4" x14ac:dyDescent="0.25">
      <c r="B20" s="41" t="s">
        <v>100</v>
      </c>
      <c r="D20" t="s">
        <v>117</v>
      </c>
    </row>
  </sheetData>
  <mergeCells count="2">
    <mergeCell ref="B8:D8"/>
    <mergeCell ref="B7:D7"/>
  </mergeCells>
  <dataValidations disablePrompts="1" count="1">
    <dataValidation allowBlank="1" showErrorMessage="1" prompt="These cells should contain the cards sorted high to low based on the card value. Consider ace as a high card." sqref="B14"/>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AB31"/>
  <sheetViews>
    <sheetView showGridLines="0" zoomScaleNormal="100" workbookViewId="0">
      <selection activeCell="P5" sqref="P5:T5"/>
    </sheetView>
  </sheetViews>
  <sheetFormatPr defaultRowHeight="15" x14ac:dyDescent="0.25"/>
  <cols>
    <col min="1" max="1" width="11" customWidth="1"/>
    <col min="2" max="2" width="6.28515625" customWidth="1"/>
    <col min="3" max="3" width="26" customWidth="1"/>
    <col min="4" max="8" width="6.42578125" customWidth="1"/>
    <col min="9" max="12" width="2.5703125" customWidth="1"/>
    <col min="13" max="13" width="6.7109375" customWidth="1"/>
    <col min="14" max="14" width="7.85546875" customWidth="1"/>
    <col min="15" max="15" width="5" customWidth="1"/>
    <col min="16" max="20" width="6.42578125" customWidth="1"/>
    <col min="21" max="24" width="2.5703125" customWidth="1"/>
    <col min="25" max="25" width="6.140625" bestFit="1" customWidth="1"/>
    <col min="26" max="26" width="3.5703125" customWidth="1"/>
  </cols>
  <sheetData>
    <row r="3" spans="2:27" ht="24.75" customHeight="1" x14ac:dyDescent="0.25">
      <c r="D3" s="16" t="s">
        <v>74</v>
      </c>
      <c r="E3" s="17"/>
      <c r="F3" s="17"/>
      <c r="G3" s="17"/>
      <c r="H3" s="17"/>
      <c r="I3" s="17"/>
      <c r="J3" s="17"/>
      <c r="K3" s="17"/>
      <c r="L3" s="17"/>
      <c r="M3" s="18"/>
      <c r="N3" s="18"/>
      <c r="P3" s="16" t="s">
        <v>75</v>
      </c>
      <c r="Q3" s="17"/>
      <c r="R3" s="17"/>
      <c r="S3" s="17"/>
      <c r="T3" s="17"/>
      <c r="U3" s="17"/>
      <c r="V3" s="17"/>
      <c r="W3" s="17"/>
      <c r="X3" s="17"/>
      <c r="Y3" s="18"/>
      <c r="AA3" s="16" t="s">
        <v>76</v>
      </c>
    </row>
    <row r="4" spans="2:27" x14ac:dyDescent="0.25">
      <c r="D4" s="3">
        <f>C4+1</f>
        <v>1</v>
      </c>
      <c r="E4" s="3">
        <f t="shared" ref="E4:H4" si="0">D4+1</f>
        <v>2</v>
      </c>
      <c r="F4" s="3">
        <f t="shared" si="0"/>
        <v>3</v>
      </c>
      <c r="G4" s="3">
        <f t="shared" si="0"/>
        <v>4</v>
      </c>
      <c r="H4" s="3">
        <f t="shared" si="0"/>
        <v>5</v>
      </c>
      <c r="I4" s="3"/>
      <c r="J4" s="3"/>
      <c r="K4" s="3"/>
      <c r="L4" s="3"/>
      <c r="P4" s="3">
        <f>D4</f>
        <v>1</v>
      </c>
      <c r="Q4" s="3">
        <f>E4</f>
        <v>2</v>
      </c>
      <c r="R4" s="3">
        <f>F4</f>
        <v>3</v>
      </c>
      <c r="S4" s="3">
        <f>G4</f>
        <v>4</v>
      </c>
      <c r="T4" s="3">
        <f>H4</f>
        <v>5</v>
      </c>
      <c r="U4" s="3"/>
      <c r="V4" s="3"/>
      <c r="W4" s="3"/>
      <c r="X4" s="3"/>
    </row>
    <row r="5" spans="2:27" x14ac:dyDescent="0.25">
      <c r="C5" t="s">
        <v>77</v>
      </c>
      <c r="D5" s="23" t="s">
        <v>62</v>
      </c>
      <c r="E5" s="23" t="s">
        <v>50</v>
      </c>
      <c r="F5" s="23" t="s">
        <v>2</v>
      </c>
      <c r="G5" s="23" t="s">
        <v>45</v>
      </c>
      <c r="H5" s="23" t="s">
        <v>15</v>
      </c>
      <c r="I5" s="3"/>
      <c r="J5" s="3"/>
      <c r="K5" s="3"/>
      <c r="L5" s="3"/>
      <c r="P5" s="23" t="s">
        <v>13</v>
      </c>
      <c r="Q5" s="23" t="s">
        <v>44</v>
      </c>
      <c r="R5" s="23" t="s">
        <v>55</v>
      </c>
      <c r="S5" s="23" t="s">
        <v>56</v>
      </c>
      <c r="T5" s="23" t="s">
        <v>10</v>
      </c>
      <c r="U5" s="3"/>
      <c r="V5" s="3"/>
      <c r="W5" s="3"/>
      <c r="X5" s="3"/>
    </row>
    <row r="6" spans="2:27" ht="6.75" customHeight="1" x14ac:dyDescent="0.25">
      <c r="B6" s="14"/>
      <c r="C6" s="14"/>
      <c r="D6" s="14"/>
      <c r="E6" s="14"/>
      <c r="F6" s="14"/>
      <c r="G6" s="14"/>
      <c r="H6" s="14"/>
      <c r="I6" s="3"/>
      <c r="J6" s="3"/>
      <c r="K6" s="3"/>
      <c r="L6" s="3"/>
      <c r="M6" s="14"/>
      <c r="N6" s="14"/>
      <c r="O6" s="14"/>
      <c r="P6" s="14"/>
      <c r="Q6" s="14"/>
      <c r="R6" s="14"/>
      <c r="S6" s="14"/>
      <c r="T6" s="14"/>
      <c r="U6" s="3"/>
      <c r="V6" s="3"/>
      <c r="W6" s="3"/>
      <c r="X6" s="3"/>
      <c r="Y6" s="14"/>
    </row>
    <row r="7" spans="2:27" ht="15" customHeight="1" x14ac:dyDescent="0.25">
      <c r="B7" s="14"/>
      <c r="C7" s="12" t="s">
        <v>72</v>
      </c>
      <c r="D7" s="10"/>
      <c r="E7" s="10"/>
      <c r="F7" s="10"/>
      <c r="G7" s="10"/>
      <c r="H7" s="10"/>
      <c r="I7" s="3"/>
      <c r="J7" s="3"/>
      <c r="K7" s="3"/>
      <c r="L7" s="3"/>
      <c r="M7" s="14"/>
      <c r="N7" s="14"/>
      <c r="O7" s="14"/>
      <c r="P7" s="10"/>
      <c r="Q7" s="10"/>
      <c r="R7" s="10"/>
      <c r="S7" s="10"/>
      <c r="T7" s="10"/>
      <c r="U7" s="3"/>
      <c r="V7" s="3"/>
      <c r="W7" s="3"/>
      <c r="X7" s="3"/>
      <c r="Y7" s="14"/>
    </row>
    <row r="8" spans="2:27" ht="15" customHeight="1" x14ac:dyDescent="0.25">
      <c r="B8" s="14"/>
      <c r="C8" s="12" t="s">
        <v>72</v>
      </c>
      <c r="D8" s="10"/>
      <c r="E8" s="10"/>
      <c r="F8" s="10"/>
      <c r="G8" s="10"/>
      <c r="H8" s="10"/>
      <c r="I8" s="3"/>
      <c r="J8" s="3"/>
      <c r="K8" s="3"/>
      <c r="L8" s="3"/>
      <c r="M8" s="14"/>
      <c r="N8" s="14"/>
      <c r="O8" s="14"/>
      <c r="P8" s="10"/>
      <c r="Q8" s="10"/>
      <c r="R8" s="10"/>
      <c r="S8" s="10"/>
      <c r="T8" s="10"/>
      <c r="U8" s="3"/>
      <c r="V8" s="3"/>
      <c r="W8" s="3"/>
      <c r="X8" s="3"/>
      <c r="Y8" s="14"/>
    </row>
    <row r="9" spans="2:27" x14ac:dyDescent="0.25">
      <c r="B9" s="14"/>
      <c r="C9" s="12" t="s">
        <v>72</v>
      </c>
      <c r="D9" s="10"/>
      <c r="E9" s="10"/>
      <c r="F9" s="10"/>
      <c r="G9" s="10"/>
      <c r="H9" s="10"/>
      <c r="I9" s="3"/>
      <c r="J9" s="3"/>
      <c r="K9" s="3"/>
      <c r="L9" s="3"/>
      <c r="M9" s="14"/>
      <c r="N9" s="14"/>
      <c r="O9" s="14"/>
      <c r="P9" s="10"/>
      <c r="Q9" s="10"/>
      <c r="R9" s="10"/>
      <c r="S9" s="10"/>
      <c r="T9" s="10"/>
      <c r="U9" s="3"/>
      <c r="V9" s="3"/>
      <c r="W9" s="3"/>
      <c r="X9" s="3"/>
      <c r="Y9" s="14"/>
    </row>
    <row r="10" spans="2:27" x14ac:dyDescent="0.25">
      <c r="B10" s="14"/>
      <c r="C10" s="12" t="s">
        <v>72</v>
      </c>
      <c r="D10" s="10"/>
      <c r="E10" s="10"/>
      <c r="F10" s="10"/>
      <c r="G10" s="10"/>
      <c r="H10" s="10"/>
      <c r="I10" s="3"/>
      <c r="J10" s="3"/>
      <c r="K10" s="3"/>
      <c r="L10" s="3"/>
      <c r="M10" s="14"/>
      <c r="N10" s="14"/>
      <c r="O10" s="14"/>
      <c r="P10" s="10"/>
      <c r="Q10" s="10"/>
      <c r="R10" s="10"/>
      <c r="S10" s="10"/>
      <c r="T10" s="10"/>
      <c r="U10" s="3"/>
      <c r="V10" s="3"/>
      <c r="W10" s="3"/>
      <c r="X10" s="3"/>
      <c r="Y10" s="14"/>
    </row>
    <row r="11" spans="2:27" x14ac:dyDescent="0.25">
      <c r="B11" s="14"/>
      <c r="C11" s="12" t="s">
        <v>72</v>
      </c>
      <c r="D11" s="10"/>
      <c r="E11" s="10"/>
      <c r="F11" s="10"/>
      <c r="G11" s="10"/>
      <c r="H11" s="10"/>
      <c r="I11" s="3"/>
      <c r="J11" s="3"/>
      <c r="K11" s="3"/>
      <c r="L11" s="3"/>
      <c r="M11" s="14"/>
      <c r="N11" s="14"/>
      <c r="O11" s="14"/>
      <c r="P11" s="10"/>
      <c r="Q11" s="10"/>
      <c r="R11" s="10"/>
      <c r="S11" s="10"/>
      <c r="T11" s="10"/>
      <c r="U11" s="3"/>
      <c r="V11" s="3"/>
      <c r="W11" s="3"/>
      <c r="X11" s="3"/>
      <c r="Y11" s="14"/>
    </row>
    <row r="12" spans="2:27" ht="5.25" customHeight="1" x14ac:dyDescent="0.25">
      <c r="B12" s="14"/>
      <c r="C12" s="14"/>
      <c r="D12" s="15"/>
      <c r="E12" s="15"/>
      <c r="F12" s="15"/>
      <c r="G12" s="15"/>
      <c r="H12" s="15"/>
      <c r="I12" s="3"/>
      <c r="J12" s="3"/>
      <c r="K12" s="3"/>
      <c r="L12" s="3"/>
      <c r="M12" s="14"/>
      <c r="N12" s="14"/>
      <c r="O12" s="14"/>
      <c r="P12" s="15"/>
      <c r="Q12" s="15"/>
      <c r="R12" s="15"/>
      <c r="S12" s="15"/>
      <c r="T12" s="15"/>
      <c r="U12" s="3"/>
      <c r="V12" s="3"/>
      <c r="W12" s="3"/>
      <c r="X12" s="3"/>
      <c r="Y12" s="14"/>
    </row>
    <row r="13" spans="2:27" x14ac:dyDescent="0.25">
      <c r="C13" t="s">
        <v>103</v>
      </c>
      <c r="D13" s="13"/>
      <c r="E13" s="13"/>
      <c r="F13" s="13"/>
      <c r="G13" s="13"/>
      <c r="H13" s="13"/>
      <c r="I13" s="42" t="s">
        <v>100</v>
      </c>
      <c r="J13" s="3"/>
      <c r="K13" s="3"/>
      <c r="L13" s="3"/>
      <c r="P13" s="13"/>
      <c r="Q13" s="13"/>
      <c r="R13" s="13"/>
      <c r="S13" s="13"/>
      <c r="T13" s="13"/>
      <c r="U13" s="42" t="s">
        <v>100</v>
      </c>
      <c r="V13" s="3"/>
      <c r="W13" s="3"/>
      <c r="X13" s="3"/>
    </row>
    <row r="15" spans="2:27" x14ac:dyDescent="0.25">
      <c r="D15" s="7"/>
      <c r="E15" s="7"/>
      <c r="F15" s="7"/>
      <c r="G15" s="7"/>
      <c r="H15" s="7"/>
      <c r="I15" s="3"/>
      <c r="J15" s="3"/>
      <c r="K15" s="3"/>
      <c r="L15" s="3"/>
      <c r="M15" s="43" t="s">
        <v>101</v>
      </c>
      <c r="P15" s="7"/>
      <c r="Q15" s="7"/>
      <c r="R15" s="7"/>
      <c r="S15" s="7"/>
      <c r="T15" s="7"/>
      <c r="U15" s="3"/>
      <c r="V15" s="3"/>
      <c r="W15" s="3"/>
      <c r="X15" s="3"/>
      <c r="Y15" s="43" t="s">
        <v>101</v>
      </c>
      <c r="AA15" s="43" t="s">
        <v>102</v>
      </c>
    </row>
    <row r="16" spans="2:27" x14ac:dyDescent="0.25">
      <c r="B16" s="8" t="s">
        <v>65</v>
      </c>
      <c r="C16" s="2" t="s">
        <v>68</v>
      </c>
      <c r="D16" s="12"/>
      <c r="E16" s="1"/>
      <c r="F16" s="1"/>
      <c r="G16" s="1"/>
      <c r="H16" s="1"/>
      <c r="I16" s="3"/>
      <c r="J16" s="3"/>
      <c r="K16" s="3"/>
      <c r="L16" s="3"/>
      <c r="M16" s="3" t="s">
        <v>115</v>
      </c>
      <c r="P16" s="12"/>
      <c r="Y16" s="3" t="s">
        <v>115</v>
      </c>
      <c r="AA16" s="3" t="s">
        <v>71</v>
      </c>
    </row>
    <row r="17" spans="2:28" x14ac:dyDescent="0.25">
      <c r="B17" s="2">
        <v>10</v>
      </c>
      <c r="C17" t="s">
        <v>66</v>
      </c>
      <c r="D17" s="10"/>
      <c r="E17" s="10"/>
      <c r="F17" s="10"/>
      <c r="G17" s="10"/>
      <c r="H17" s="10"/>
      <c r="I17" s="10"/>
      <c r="J17" s="10"/>
      <c r="K17" s="10"/>
      <c r="L17" s="10"/>
      <c r="M17" s="9" t="b">
        <v>0</v>
      </c>
      <c r="P17" s="11"/>
      <c r="Q17" s="11"/>
      <c r="R17" s="11"/>
      <c r="S17" s="11"/>
      <c r="T17" s="11"/>
      <c r="U17" s="11"/>
      <c r="V17" s="11"/>
      <c r="W17" s="11"/>
      <c r="X17" s="11"/>
      <c r="Y17" s="9" t="b">
        <v>0</v>
      </c>
      <c r="AA17" s="7">
        <v>0</v>
      </c>
      <c r="AB17" s="56"/>
    </row>
    <row r="18" spans="2:28" x14ac:dyDescent="0.25">
      <c r="B18" s="2">
        <v>9</v>
      </c>
      <c r="C18" t="s">
        <v>63</v>
      </c>
      <c r="D18" s="10"/>
      <c r="E18" s="10"/>
      <c r="F18" s="10"/>
      <c r="G18" s="10"/>
      <c r="H18" s="10"/>
      <c r="I18" s="10"/>
      <c r="J18" s="10"/>
      <c r="K18" s="10"/>
      <c r="L18" s="10"/>
      <c r="M18" s="9" t="b">
        <v>0</v>
      </c>
      <c r="P18" s="11"/>
      <c r="Q18" s="11"/>
      <c r="R18" s="11"/>
      <c r="S18" s="11"/>
      <c r="T18" s="11"/>
      <c r="U18" s="11"/>
      <c r="V18" s="11"/>
      <c r="W18" s="11"/>
      <c r="X18" s="11"/>
      <c r="Y18" s="9" t="b">
        <v>0</v>
      </c>
      <c r="AA18" s="13">
        <v>1</v>
      </c>
      <c r="AB18" s="56"/>
    </row>
    <row r="19" spans="2:28" x14ac:dyDescent="0.25">
      <c r="B19" s="2">
        <v>8</v>
      </c>
      <c r="C19" t="s">
        <v>67</v>
      </c>
      <c r="D19" s="10"/>
      <c r="E19" s="10"/>
      <c r="F19" s="10"/>
      <c r="G19" s="10"/>
      <c r="H19" s="10"/>
      <c r="I19" s="10"/>
      <c r="J19" s="10"/>
      <c r="K19" s="10"/>
      <c r="L19" s="10"/>
      <c r="M19" s="9" t="b">
        <v>0</v>
      </c>
      <c r="P19" s="10"/>
      <c r="Q19" s="10"/>
      <c r="R19" s="10"/>
      <c r="S19" s="10"/>
      <c r="T19" s="10"/>
      <c r="U19" s="10"/>
      <c r="V19" s="10"/>
      <c r="W19" s="10"/>
      <c r="X19" s="10"/>
      <c r="Y19" s="9" t="b">
        <v>0</v>
      </c>
      <c r="AA19" s="13">
        <v>1</v>
      </c>
      <c r="AB19" s="56"/>
    </row>
    <row r="20" spans="2:28" x14ac:dyDescent="0.25">
      <c r="B20" s="2">
        <v>7</v>
      </c>
      <c r="C20" t="s">
        <v>9</v>
      </c>
      <c r="D20" s="10"/>
      <c r="E20" s="10"/>
      <c r="F20" s="10"/>
      <c r="G20" s="10"/>
      <c r="H20" s="10"/>
      <c r="I20" s="10"/>
      <c r="J20" s="10"/>
      <c r="K20" s="10"/>
      <c r="L20" s="10"/>
      <c r="M20" s="9" t="b">
        <v>0</v>
      </c>
      <c r="P20" s="11"/>
      <c r="Q20" s="11"/>
      <c r="R20" s="11"/>
      <c r="S20" s="11"/>
      <c r="T20" s="11"/>
      <c r="U20" s="11"/>
      <c r="V20" s="11"/>
      <c r="W20" s="11"/>
      <c r="X20" s="10"/>
      <c r="Y20" s="9" t="b">
        <v>0</v>
      </c>
      <c r="AA20" s="13">
        <v>1</v>
      </c>
      <c r="AB20" s="56"/>
    </row>
    <row r="21" spans="2:28" x14ac:dyDescent="0.25">
      <c r="B21" s="2">
        <v>6</v>
      </c>
      <c r="C21" t="s">
        <v>64</v>
      </c>
      <c r="D21" s="10"/>
      <c r="E21" s="10"/>
      <c r="F21" s="10"/>
      <c r="G21" s="10"/>
      <c r="H21" s="10"/>
      <c r="I21" s="10"/>
      <c r="J21" s="10"/>
      <c r="K21" s="10"/>
      <c r="L21" s="10"/>
      <c r="M21" s="9" t="b">
        <v>0</v>
      </c>
      <c r="P21" s="10"/>
      <c r="Q21" s="10"/>
      <c r="R21" s="10"/>
      <c r="S21" s="10"/>
      <c r="T21" s="10"/>
      <c r="U21" s="10"/>
      <c r="V21" s="10"/>
      <c r="W21" s="10"/>
      <c r="X21" s="10"/>
      <c r="Y21" s="9" t="b">
        <v>0</v>
      </c>
      <c r="AA21" s="13">
        <v>1</v>
      </c>
      <c r="AB21" s="56"/>
    </row>
    <row r="22" spans="2:28" x14ac:dyDescent="0.25">
      <c r="B22" s="2">
        <v>5</v>
      </c>
      <c r="C22" t="s">
        <v>70</v>
      </c>
      <c r="D22" s="10"/>
      <c r="E22" s="10"/>
      <c r="F22" s="10"/>
      <c r="G22" s="10"/>
      <c r="H22" s="10"/>
      <c r="I22" s="10"/>
      <c r="J22" s="10"/>
      <c r="K22" s="10"/>
      <c r="L22" s="10"/>
      <c r="M22" s="9" t="b">
        <v>0</v>
      </c>
      <c r="P22" s="11"/>
      <c r="Q22" s="11"/>
      <c r="R22" s="11"/>
      <c r="S22" s="11"/>
      <c r="T22" s="11"/>
      <c r="U22" s="11"/>
      <c r="V22" s="11"/>
      <c r="W22" s="11"/>
      <c r="X22" s="11"/>
      <c r="Y22" s="9" t="b">
        <v>0</v>
      </c>
      <c r="AA22" s="13">
        <v>1</v>
      </c>
      <c r="AB22" s="56"/>
    </row>
    <row r="23" spans="2:28" x14ac:dyDescent="0.25">
      <c r="B23" s="2">
        <v>4</v>
      </c>
      <c r="C23" t="s">
        <v>7</v>
      </c>
      <c r="D23" s="10"/>
      <c r="E23" s="10"/>
      <c r="F23" s="10"/>
      <c r="G23" s="10"/>
      <c r="H23" s="10"/>
      <c r="I23" s="10"/>
      <c r="J23" s="10"/>
      <c r="K23" s="10"/>
      <c r="L23" s="10"/>
      <c r="M23" s="9" t="b">
        <v>0</v>
      </c>
      <c r="P23" s="10"/>
      <c r="Q23" s="10"/>
      <c r="R23" s="10"/>
      <c r="S23" s="10"/>
      <c r="T23" s="10"/>
      <c r="U23" s="10"/>
      <c r="V23" s="10"/>
      <c r="W23" s="10"/>
      <c r="X23" s="10"/>
      <c r="Y23" s="9" t="b">
        <v>0</v>
      </c>
      <c r="AA23" s="13">
        <v>1</v>
      </c>
      <c r="AB23" s="56"/>
    </row>
    <row r="24" spans="2:28" x14ac:dyDescent="0.25">
      <c r="B24" s="2">
        <v>3</v>
      </c>
      <c r="C24" t="s">
        <v>8</v>
      </c>
      <c r="D24" s="10"/>
      <c r="E24" s="10"/>
      <c r="F24" s="10"/>
      <c r="G24" s="10"/>
      <c r="H24" s="10"/>
      <c r="I24" s="10"/>
      <c r="J24" s="10"/>
      <c r="K24" s="10"/>
      <c r="L24" s="10"/>
      <c r="M24" s="9" t="b">
        <v>0</v>
      </c>
      <c r="P24" s="10"/>
      <c r="Q24" s="10"/>
      <c r="R24" s="10"/>
      <c r="S24" s="10"/>
      <c r="T24" s="10"/>
      <c r="U24" s="10"/>
      <c r="V24" s="10"/>
      <c r="W24" s="10"/>
      <c r="X24" s="10"/>
      <c r="Y24" s="9" t="b">
        <v>0</v>
      </c>
      <c r="AA24" s="13">
        <v>1</v>
      </c>
      <c r="AB24" s="56"/>
    </row>
    <row r="25" spans="2:28" x14ac:dyDescent="0.25">
      <c r="B25" s="2">
        <v>2</v>
      </c>
      <c r="C25" t="s">
        <v>6</v>
      </c>
      <c r="D25" s="10"/>
      <c r="E25" s="10"/>
      <c r="F25" s="10"/>
      <c r="G25" s="10"/>
      <c r="H25" s="10"/>
      <c r="I25" s="10"/>
      <c r="J25" s="10"/>
      <c r="K25" s="10"/>
      <c r="L25" s="10"/>
      <c r="M25" s="9" t="b">
        <v>0</v>
      </c>
      <c r="P25" s="10"/>
      <c r="Q25" s="10"/>
      <c r="R25" s="10"/>
      <c r="S25" s="10"/>
      <c r="T25" s="10"/>
      <c r="U25" s="10"/>
      <c r="V25" s="10"/>
      <c r="W25" s="10"/>
      <c r="X25" s="10"/>
      <c r="Y25" s="9" t="b">
        <v>0</v>
      </c>
      <c r="AA25" s="13">
        <v>1</v>
      </c>
      <c r="AB25" s="56"/>
    </row>
    <row r="26" spans="2:28" x14ac:dyDescent="0.25">
      <c r="B26" s="2">
        <v>1</v>
      </c>
      <c r="C26" t="s">
        <v>5</v>
      </c>
      <c r="D26" s="10"/>
      <c r="E26" s="10"/>
      <c r="F26" s="10"/>
      <c r="G26" s="10"/>
      <c r="H26" s="10"/>
      <c r="I26" s="10"/>
      <c r="J26" s="10"/>
      <c r="K26" s="10"/>
      <c r="L26" s="10"/>
      <c r="M26" s="15" t="b">
        <v>1</v>
      </c>
      <c r="P26" s="11"/>
      <c r="Q26" s="11"/>
      <c r="R26" s="11"/>
      <c r="S26" s="11"/>
      <c r="T26" s="11"/>
      <c r="U26" s="11"/>
      <c r="V26" s="11"/>
      <c r="W26" s="11"/>
      <c r="X26" s="11"/>
      <c r="Y26" s="15" t="b">
        <v>1</v>
      </c>
      <c r="AA26" s="13">
        <v>1</v>
      </c>
      <c r="AB26" s="56"/>
    </row>
    <row r="27" spans="2:28" x14ac:dyDescent="0.25">
      <c r="B27" s="2"/>
      <c r="C27" s="2" t="s">
        <v>69</v>
      </c>
      <c r="D27" s="1"/>
      <c r="E27" s="1"/>
      <c r="F27" s="1"/>
      <c r="G27" s="1"/>
      <c r="H27" s="1"/>
      <c r="I27" s="1"/>
      <c r="J27" s="1"/>
      <c r="K27" s="1"/>
      <c r="L27" s="1"/>
      <c r="M27" s="54">
        <f>INDEX($B$17:$B$26,MATCH(TRUE,M17:M26,0))</f>
        <v>1</v>
      </c>
      <c r="Y27" s="54">
        <f>INDEX($B$17:$B$26,MATCH(TRUE,Y17:Y26,0))</f>
        <v>1</v>
      </c>
      <c r="AA27" s="55">
        <f>IF(M27=0,0,IF(M27=Y27,INDEX($AA$17:$AA$26,MATCH(M27,B17:B26,0))))</f>
        <v>1</v>
      </c>
    </row>
    <row r="28" spans="2:28" x14ac:dyDescent="0.25">
      <c r="B28" s="2"/>
      <c r="D28" s="1"/>
      <c r="E28" s="1"/>
      <c r="F28" s="1"/>
      <c r="G28" s="1"/>
      <c r="H28" s="1"/>
      <c r="I28" s="1"/>
      <c r="J28" s="1"/>
      <c r="K28" s="1"/>
      <c r="L28" s="1"/>
    </row>
    <row r="29" spans="2:28" ht="28.5" customHeight="1" thickBot="1" x14ac:dyDescent="0.3">
      <c r="C29" s="35" t="s">
        <v>73</v>
      </c>
      <c r="D29" s="36"/>
      <c r="E29" s="25"/>
      <c r="F29" s="25"/>
      <c r="G29" s="37"/>
      <c r="H29" s="25"/>
      <c r="I29" s="25"/>
      <c r="J29" s="25"/>
      <c r="K29" s="25"/>
      <c r="L29" s="25"/>
      <c r="M29" s="38">
        <f>IF(ISERROR(Score1+Score2+AA27),-1,IF(M27=Y27,AA27,IF(M27&gt;Y27,1,2)))</f>
        <v>1</v>
      </c>
      <c r="N29" s="39" t="str">
        <f>CHOOSE(Winner+1,"Tie","Player 1", "Player 2")</f>
        <v>Player 1</v>
      </c>
      <c r="P29" s="35" t="s">
        <v>84</v>
      </c>
      <c r="Q29" s="36"/>
      <c r="R29" s="25"/>
      <c r="S29" s="25"/>
      <c r="T29" s="37"/>
      <c r="U29" s="25"/>
      <c r="V29" s="25"/>
      <c r="W29" s="25"/>
      <c r="X29" s="25"/>
      <c r="Y29" s="38">
        <f>IF(ISERROR(Score1+Score2),-1,MAX(M27,Y27))</f>
        <v>1</v>
      </c>
      <c r="Z29" s="39" t="str">
        <f>INDEX(C17:C26,MATCH(StrongestHand,B17:B26,0))</f>
        <v>High Card</v>
      </c>
      <c r="AA29" s="25"/>
    </row>
    <row r="30" spans="2:28" ht="28.5" customHeight="1" x14ac:dyDescent="0.25">
      <c r="C30" s="31"/>
      <c r="D30" s="32"/>
      <c r="E30" s="33"/>
      <c r="F30" s="33"/>
      <c r="G30" s="34"/>
      <c r="H30" s="33"/>
      <c r="I30" s="33"/>
      <c r="J30" s="33"/>
      <c r="K30" s="33"/>
      <c r="L30" s="33"/>
      <c r="M30" s="33"/>
      <c r="N30" s="33"/>
      <c r="P30" s="33"/>
      <c r="Q30" s="33"/>
    </row>
    <row r="31" spans="2:28" ht="28.5" customHeight="1" x14ac:dyDescent="0.25"/>
  </sheetData>
  <dataValidations disablePrompts="1" xWindow="322" yWindow="672" count="10">
    <dataValidation allowBlank="1" showInputMessage="1" showErrorMessage="1" promptTitle="Hand" prompt="10: Royal Flush_x000a_9: Straight Flush_x000a_8: Four of a Kind_x000a_7: Full House_x000a_6: Flush_x000a_5: Straight_x000a_4: Three of Kind_x000a_3: Two Pair_x000a_2: One Pair_x000a_1: High Card" sqref="Y29"/>
    <dataValidation allowBlank="1" showInputMessage="1" showErrorMessage="1" prompt="The weakest hand. Requirements always _x000a_satisfied." sqref="Y26 M26"/>
    <dataValidation allowBlank="1" showInputMessage="1" showErrorMessage="1" promptTitle="Winner" prompt="0: Tie_x000a_1: Player 1_x000a_2: Player 2" sqref="M29"/>
    <dataValidation allowBlank="1" showInputMessage="1" showErrorMessage="1" prompt="This is always a tie" sqref="AA17"/>
    <dataValidation allowBlank="1" showInputMessage="1" showErrorMessage="1" prompt="If both players have the same hands (e.g both having three of a kind). This area determines which player has the strongest hand. _x000a__x000a_Insert a formula that resolves to:_x000a_1 if Player 1 is the winner_x000a_2 if Player 2 is the winner_x000a_0 if we have a dead heat (tie)." sqref="AA18:AA26"/>
    <dataValidation allowBlank="1" showInputMessage="1" showErrorMessage="1" prompt="Returns the result of the relevant tie break above. This is only used if both players have the same hand. For instance if both have a Three of a Kind." sqref="AA27"/>
    <dataValidation allowBlank="1" showInputMessage="1" showErrorMessage="1" prompt="Insert a formula that resolves to TRUE if the hands requirements are met or FALSE if not. The logic in the workbook with recognise the players hand as the highest ranking hand that is set to TRUE" sqref="M17:M25 Y17:Y25"/>
    <dataValidation allowBlank="1" showInputMessage="1" showErrorMessage="1" prompt="Insert a formula to sort cards from high to low based on the card value. Consider ace as a high card." sqref="D13:H13 P13:T13"/>
    <dataValidation allowBlank="1" showInputMessage="1" showErrorMessage="1" prompt="Returns the the highest score from the hands that have been set to TRUE" sqref="Y27"/>
    <dataValidation allowBlank="1" showInputMessage="1" showErrorMessage="1" prompt="Returns the highest score from the hands set to TRUE above " sqref="M27"/>
  </dataValidations>
  <pageMargins left="0.7" right="0.7" top="0.75" bottom="0.75" header="0.3" footer="0.3"/>
  <pageSetup paperSize="9"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150"/>
  <sheetViews>
    <sheetView workbookViewId="0">
      <selection activeCell="G22" sqref="G22"/>
    </sheetView>
  </sheetViews>
  <sheetFormatPr defaultRowHeight="15" x14ac:dyDescent="0.25"/>
  <cols>
    <col min="1" max="1" width="5.140625" customWidth="1"/>
    <col min="7" max="7" width="4.42578125" customWidth="1"/>
    <col min="8" max="8" width="4.5703125" customWidth="1"/>
    <col min="36" max="36" width="13.28515625" bestFit="1" customWidth="1"/>
    <col min="37" max="39" width="10.7109375" customWidth="1"/>
    <col min="42" max="42" width="13.28515625" bestFit="1" customWidth="1"/>
    <col min="43" max="43" width="9.85546875" bestFit="1" customWidth="1"/>
    <col min="45" max="45" width="10.140625" bestFit="1" customWidth="1"/>
  </cols>
  <sheetData>
    <row r="1" spans="1:46" s="4" customFormat="1" x14ac:dyDescent="0.25">
      <c r="A1" s="4" t="s">
        <v>11</v>
      </c>
    </row>
    <row r="2" spans="1:46" s="4" customFormat="1" x14ac:dyDescent="0.25">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row>
    <row r="3" spans="1:46" s="4" customFormat="1" x14ac:dyDescent="0.25">
      <c r="A3"/>
      <c r="B3"/>
      <c r="C3"/>
      <c r="D3"/>
      <c r="E3"/>
      <c r="F3"/>
      <c r="G3"/>
      <c r="H3"/>
      <c r="I3"/>
      <c r="J3"/>
      <c r="K3"/>
      <c r="L3"/>
      <c r="M3"/>
      <c r="N3"/>
      <c r="O3"/>
      <c r="P3"/>
      <c r="Q3"/>
      <c r="R3"/>
      <c r="S3"/>
      <c r="T3"/>
      <c r="U3" t="s">
        <v>88</v>
      </c>
      <c r="V3"/>
      <c r="W3"/>
      <c r="X3" t="s">
        <v>89</v>
      </c>
      <c r="Y3"/>
      <c r="Z3"/>
      <c r="AA3"/>
      <c r="AB3"/>
      <c r="AC3"/>
      <c r="AD3"/>
      <c r="AE3"/>
      <c r="AF3"/>
      <c r="AG3"/>
      <c r="AH3"/>
      <c r="AI3"/>
      <c r="AJ3"/>
      <c r="AK3"/>
      <c r="AL3"/>
      <c r="AM3"/>
      <c r="AN3"/>
      <c r="AO3"/>
      <c r="AP3"/>
      <c r="AQ3"/>
      <c r="AR3"/>
      <c r="AS3"/>
      <c r="AT3"/>
    </row>
    <row r="4" spans="1:46" x14ac:dyDescent="0.25">
      <c r="B4" s="3" t="s">
        <v>16</v>
      </c>
      <c r="C4" s="3" t="s">
        <v>17</v>
      </c>
      <c r="D4" s="3" t="s">
        <v>18</v>
      </c>
      <c r="E4" s="3" t="s">
        <v>19</v>
      </c>
      <c r="F4" s="3" t="s">
        <v>20</v>
      </c>
      <c r="I4" s="3" t="s">
        <v>83</v>
      </c>
      <c r="J4" s="3" t="s">
        <v>73</v>
      </c>
      <c r="K4" s="3" t="s">
        <v>85</v>
      </c>
      <c r="L4" s="3" t="s">
        <v>86</v>
      </c>
      <c r="M4" s="3" t="s">
        <v>91</v>
      </c>
      <c r="O4" s="3" t="s">
        <v>79</v>
      </c>
      <c r="P4" s="3" t="s">
        <v>78</v>
      </c>
      <c r="Q4" s="3" t="s">
        <v>80</v>
      </c>
      <c r="R4" s="3" t="s">
        <v>81</v>
      </c>
      <c r="S4" s="3" t="s">
        <v>82</v>
      </c>
      <c r="U4" s="3" t="s">
        <v>83</v>
      </c>
      <c r="V4" s="3" t="s">
        <v>73</v>
      </c>
      <c r="X4" t="str">
        <f>U4</f>
        <v>Highest Hand</v>
      </c>
      <c r="Y4" t="str">
        <f>V4</f>
        <v>Winner</v>
      </c>
      <c r="Z4" t="s">
        <v>92</v>
      </c>
      <c r="AA4" t="s">
        <v>90</v>
      </c>
      <c r="AB4" t="s">
        <v>97</v>
      </c>
      <c r="AL4" s="1" t="s">
        <v>95</v>
      </c>
      <c r="AM4" s="1" t="s">
        <v>96</v>
      </c>
      <c r="AR4" s="1" t="s">
        <v>95</v>
      </c>
      <c r="AS4" s="1" t="s">
        <v>96</v>
      </c>
    </row>
    <row r="5" spans="1:46" x14ac:dyDescent="0.25">
      <c r="A5" s="2">
        <f>A4+1</f>
        <v>1</v>
      </c>
      <c r="B5" s="5" t="s">
        <v>0</v>
      </c>
      <c r="C5" s="5" t="s">
        <v>23</v>
      </c>
      <c r="D5" s="5" t="s">
        <v>22</v>
      </c>
      <c r="E5" s="5" t="s">
        <v>14</v>
      </c>
      <c r="F5" s="5" t="s">
        <v>21</v>
      </c>
      <c r="I5" s="6">
        <v>10</v>
      </c>
      <c r="J5" s="6">
        <v>1</v>
      </c>
      <c r="K5" s="6">
        <v>10</v>
      </c>
      <c r="L5" s="6">
        <v>2</v>
      </c>
      <c r="M5" s="1" t="str">
        <f t="shared" ref="M5:M71" si="0">IF(J5=0,"DH",IF(K5=L5,"Tie",""))</f>
        <v/>
      </c>
      <c r="O5" s="5" t="s">
        <v>44</v>
      </c>
      <c r="P5" s="5" t="s">
        <v>28</v>
      </c>
      <c r="Q5" s="5" t="s">
        <v>57</v>
      </c>
      <c r="R5" s="5" t="s">
        <v>15</v>
      </c>
      <c r="S5" s="5" t="s">
        <v>24</v>
      </c>
      <c r="T5" s="1"/>
      <c r="U5" s="13">
        <v>1</v>
      </c>
      <c r="V5" s="13">
        <v>1</v>
      </c>
      <c r="W5" s="1"/>
      <c r="X5" s="1">
        <f t="shared" ref="X5" si="1">(U5=I5)*1</f>
        <v>0</v>
      </c>
      <c r="Y5" s="1">
        <f t="shared" ref="Y5" si="2">(V5=J5)*1</f>
        <v>1</v>
      </c>
      <c r="Z5" s="1" t="b">
        <f>AND(X5,Y5)</f>
        <v>0</v>
      </c>
      <c r="AA5" s="1" t="str">
        <f>IF(I5=-1,-1,I5&amp;M5)</f>
        <v>10</v>
      </c>
      <c r="AB5" s="1" t="str">
        <f>IF(Z5,AA5,"Wrong")</f>
        <v>Wrong</v>
      </c>
      <c r="AC5" s="1"/>
      <c r="AD5" s="5" t="str">
        <f t="shared" ref="AD5:AH5" ca="1" si="3">CHOOSE(RANDBETWEEN(1,13),"A",2,3,4,5,6,7,8,9,10,"J","Q","K")&amp;CHOOSE(RANDBETWEEN(1,4),"S","D","C","H")</f>
        <v>KH</v>
      </c>
      <c r="AE5" s="5" t="str">
        <f t="shared" ca="1" si="3"/>
        <v>QS</v>
      </c>
      <c r="AF5" s="5" t="str">
        <f t="shared" ca="1" si="3"/>
        <v>2D</v>
      </c>
      <c r="AG5" s="5" t="str">
        <f t="shared" ca="1" si="3"/>
        <v>10S</v>
      </c>
      <c r="AH5" s="5" t="str">
        <f t="shared" ca="1" si="3"/>
        <v>QS</v>
      </c>
      <c r="AK5" s="21" t="s">
        <v>98</v>
      </c>
      <c r="AL5" s="21" t="s">
        <v>93</v>
      </c>
      <c r="AM5" s="21" t="s">
        <v>94</v>
      </c>
      <c r="AQ5" s="21" t="s">
        <v>98</v>
      </c>
      <c r="AR5" s="21" t="s">
        <v>93</v>
      </c>
      <c r="AS5" s="21" t="s">
        <v>94</v>
      </c>
    </row>
    <row r="6" spans="1:46" x14ac:dyDescent="0.25">
      <c r="A6" s="2">
        <f t="shared" ref="A6:A69" si="4">A5+1</f>
        <v>2</v>
      </c>
      <c r="B6" s="5" t="s">
        <v>53</v>
      </c>
      <c r="C6" s="5" t="s">
        <v>30</v>
      </c>
      <c r="D6" s="5" t="s">
        <v>40</v>
      </c>
      <c r="E6" s="5" t="s">
        <v>13</v>
      </c>
      <c r="F6" s="5" t="s">
        <v>38</v>
      </c>
      <c r="I6" s="6">
        <v>10</v>
      </c>
      <c r="J6" s="6">
        <v>1</v>
      </c>
      <c r="K6" s="6">
        <v>10</v>
      </c>
      <c r="L6" s="6">
        <v>1</v>
      </c>
      <c r="M6" s="1" t="str">
        <f t="shared" si="0"/>
        <v/>
      </c>
      <c r="O6" s="5" t="s">
        <v>58</v>
      </c>
      <c r="P6" s="5" t="s">
        <v>46</v>
      </c>
      <c r="Q6" s="5" t="s">
        <v>50</v>
      </c>
      <c r="R6" s="5" t="s">
        <v>56</v>
      </c>
      <c r="S6" s="5" t="s">
        <v>55</v>
      </c>
      <c r="T6" s="1"/>
      <c r="U6" s="13">
        <v>1</v>
      </c>
      <c r="V6" s="13">
        <v>1</v>
      </c>
      <c r="W6" s="1"/>
      <c r="X6" s="1">
        <f t="shared" ref="X6:X68" si="5">(U6=I6)*1</f>
        <v>0</v>
      </c>
      <c r="Y6" s="1">
        <f t="shared" ref="Y6:Y68" si="6">(V6=J6)*1</f>
        <v>1</v>
      </c>
      <c r="Z6" s="1" t="b">
        <f t="shared" ref="Z6:Z68" si="7">AND(X6,Y6)</f>
        <v>0</v>
      </c>
      <c r="AA6" s="1" t="str">
        <f t="shared" ref="AA6:AA68" si="8">IF(I6=-1,-1,I6&amp;M6)</f>
        <v>10</v>
      </c>
      <c r="AB6" s="1" t="str">
        <f t="shared" ref="AB6:AB68" si="9">IF(Z6,AA6,"Wrong")</f>
        <v>Wrong</v>
      </c>
      <c r="AC6" s="1"/>
      <c r="AI6">
        <v>10</v>
      </c>
      <c r="AJ6" s="20" t="s">
        <v>66</v>
      </c>
      <c r="AK6" s="20">
        <f t="shared" ref="AK6:AK14" si="10">COUNTIF($AA$5:$AA$150,$AI6&amp;AK$4)</f>
        <v>4</v>
      </c>
      <c r="AL6" s="22"/>
      <c r="AM6" s="20">
        <f>COUNTIF($AA$5:$AA$150,$AI6&amp;AM$4)</f>
        <v>4</v>
      </c>
      <c r="AO6">
        <v>10</v>
      </c>
      <c r="AP6" s="20" t="s">
        <v>66</v>
      </c>
      <c r="AQ6" s="47">
        <f t="shared" ref="AQ6:AQ14" si="11">COUNTIF($AB$5:$AB$150,$AO6&amp;AQ$4)/AK6</f>
        <v>0</v>
      </c>
      <c r="AR6" s="48"/>
      <c r="AS6" s="47">
        <f>COUNTIF($AB$5:$AB$150,$AO6&amp;AS$4)/AM6</f>
        <v>0</v>
      </c>
    </row>
    <row r="7" spans="1:46" x14ac:dyDescent="0.25">
      <c r="A7" s="2">
        <f t="shared" si="4"/>
        <v>3</v>
      </c>
      <c r="B7" s="5" t="s">
        <v>50</v>
      </c>
      <c r="C7" s="5" t="s">
        <v>28</v>
      </c>
      <c r="D7" s="5" t="s">
        <v>62</v>
      </c>
      <c r="E7" s="5" t="s">
        <v>36</v>
      </c>
      <c r="F7" s="5" t="s">
        <v>2</v>
      </c>
      <c r="I7" s="6">
        <v>9</v>
      </c>
      <c r="J7" s="6">
        <v>1</v>
      </c>
      <c r="K7" s="6">
        <v>9</v>
      </c>
      <c r="L7" s="6">
        <v>2</v>
      </c>
      <c r="M7" s="1" t="str">
        <f t="shared" si="0"/>
        <v/>
      </c>
      <c r="O7" s="5" t="s">
        <v>14</v>
      </c>
      <c r="P7" s="5" t="s">
        <v>22</v>
      </c>
      <c r="Q7" s="5" t="s">
        <v>10</v>
      </c>
      <c r="R7" s="5" t="s">
        <v>45</v>
      </c>
      <c r="S7" s="5" t="s">
        <v>32</v>
      </c>
      <c r="T7" s="1"/>
      <c r="U7" s="13">
        <v>1</v>
      </c>
      <c r="V7" s="13">
        <v>1</v>
      </c>
      <c r="W7" s="1"/>
      <c r="X7" s="1">
        <f t="shared" si="5"/>
        <v>0</v>
      </c>
      <c r="Y7" s="1">
        <f t="shared" si="6"/>
        <v>1</v>
      </c>
      <c r="Z7" s="1" t="b">
        <f t="shared" si="7"/>
        <v>0</v>
      </c>
      <c r="AA7" s="1" t="str">
        <f t="shared" si="8"/>
        <v>9</v>
      </c>
      <c r="AB7" s="1" t="str">
        <f t="shared" si="9"/>
        <v>Wrong</v>
      </c>
      <c r="AC7" s="1"/>
      <c r="AD7" s="19" t="s">
        <v>87</v>
      </c>
      <c r="AE7" s="19"/>
      <c r="AI7">
        <f>AI6-1</f>
        <v>9</v>
      </c>
      <c r="AJ7" s="20" t="s">
        <v>63</v>
      </c>
      <c r="AK7" s="46">
        <f t="shared" si="10"/>
        <v>4</v>
      </c>
      <c r="AL7" s="46">
        <f t="shared" ref="AL7:AL15" si="12">COUNTIF($AA$5:$AA$150,$AI7&amp;AL$4)</f>
        <v>4</v>
      </c>
      <c r="AM7" s="46">
        <f>COUNTIF($AA$5:$AA$150,$AI7&amp;AM$4)</f>
        <v>4</v>
      </c>
      <c r="AO7">
        <f>AO6-1</f>
        <v>9</v>
      </c>
      <c r="AP7" s="20" t="s">
        <v>63</v>
      </c>
      <c r="AQ7" s="47">
        <f t="shared" si="11"/>
        <v>0</v>
      </c>
      <c r="AR7" s="47">
        <f t="shared" ref="AR7:AR15" si="13">COUNTIF($AB$5:$AB$150,$AO7&amp;AR$4)/AL7</f>
        <v>0</v>
      </c>
      <c r="AS7" s="47">
        <f>COUNTIF($AB$5:$AB$150,$AO7&amp;AS$4)/AM7</f>
        <v>0</v>
      </c>
    </row>
    <row r="8" spans="1:46" x14ac:dyDescent="0.25">
      <c r="A8" s="2">
        <f t="shared" si="4"/>
        <v>4</v>
      </c>
      <c r="B8" s="5" t="s">
        <v>34</v>
      </c>
      <c r="C8" s="5" t="s">
        <v>33</v>
      </c>
      <c r="D8" s="5" t="s">
        <v>15</v>
      </c>
      <c r="E8" s="5" t="s">
        <v>1</v>
      </c>
      <c r="F8" s="5" t="s">
        <v>51</v>
      </c>
      <c r="I8" s="6">
        <v>9</v>
      </c>
      <c r="J8" s="6">
        <v>1</v>
      </c>
      <c r="K8" s="6">
        <v>9</v>
      </c>
      <c r="L8" s="6">
        <v>2</v>
      </c>
      <c r="M8" s="1" t="str">
        <f t="shared" si="0"/>
        <v/>
      </c>
      <c r="O8" s="5" t="s">
        <v>14</v>
      </c>
      <c r="P8" s="5" t="s">
        <v>41</v>
      </c>
      <c r="Q8" s="5" t="s">
        <v>27</v>
      </c>
      <c r="R8" s="5" t="s">
        <v>13</v>
      </c>
      <c r="S8" s="5" t="s">
        <v>28</v>
      </c>
      <c r="T8" s="1"/>
      <c r="U8" s="13">
        <v>1</v>
      </c>
      <c r="V8" s="13">
        <v>1</v>
      </c>
      <c r="W8" s="1"/>
      <c r="X8" s="1">
        <f t="shared" si="5"/>
        <v>0</v>
      </c>
      <c r="Y8" s="1">
        <f t="shared" si="6"/>
        <v>1</v>
      </c>
      <c r="Z8" s="1" t="b">
        <f t="shared" si="7"/>
        <v>0</v>
      </c>
      <c r="AA8" s="1" t="str">
        <f t="shared" si="8"/>
        <v>9</v>
      </c>
      <c r="AB8" s="1" t="str">
        <f t="shared" si="9"/>
        <v>Wrong</v>
      </c>
      <c r="AC8" s="1"/>
      <c r="AD8">
        <v>10</v>
      </c>
      <c r="AE8">
        <f t="shared" ref="AE8:AE18" si="14">COUNTIFS(StrongestHand_Data,AD8,Winner_Data,0)</f>
        <v>4</v>
      </c>
      <c r="AI8">
        <f t="shared" ref="AI8:AI15" si="15">AI7-1</f>
        <v>8</v>
      </c>
      <c r="AJ8" s="20" t="s">
        <v>67</v>
      </c>
      <c r="AK8" s="20">
        <f t="shared" si="10"/>
        <v>6</v>
      </c>
      <c r="AL8" s="46">
        <f t="shared" si="12"/>
        <v>4</v>
      </c>
      <c r="AM8" s="22"/>
      <c r="AO8">
        <f t="shared" ref="AO8:AO15" si="16">AO7-1</f>
        <v>8</v>
      </c>
      <c r="AP8" s="20" t="s">
        <v>67</v>
      </c>
      <c r="AQ8" s="47">
        <f t="shared" si="11"/>
        <v>0</v>
      </c>
      <c r="AR8" s="47">
        <f t="shared" si="13"/>
        <v>0</v>
      </c>
      <c r="AS8" s="48"/>
    </row>
    <row r="9" spans="1:46" x14ac:dyDescent="0.25">
      <c r="A9" s="2">
        <f t="shared" si="4"/>
        <v>5</v>
      </c>
      <c r="B9" s="5" t="s">
        <v>31</v>
      </c>
      <c r="C9" s="5" t="s">
        <v>34</v>
      </c>
      <c r="D9" s="5" t="s">
        <v>35</v>
      </c>
      <c r="E9" s="5" t="s">
        <v>43</v>
      </c>
      <c r="F9" s="5" t="s">
        <v>38</v>
      </c>
      <c r="I9" s="6">
        <v>8</v>
      </c>
      <c r="J9" s="6">
        <v>1</v>
      </c>
      <c r="K9" s="6">
        <v>8</v>
      </c>
      <c r="L9" s="6">
        <v>2</v>
      </c>
      <c r="M9" s="1" t="str">
        <f t="shared" si="0"/>
        <v/>
      </c>
      <c r="O9" s="5" t="s">
        <v>47</v>
      </c>
      <c r="P9" s="5" t="s">
        <v>14</v>
      </c>
      <c r="Q9" s="5" t="s">
        <v>24</v>
      </c>
      <c r="R9" s="5" t="s">
        <v>40</v>
      </c>
      <c r="S9" s="5" t="s">
        <v>10</v>
      </c>
      <c r="T9" s="1"/>
      <c r="U9" s="13">
        <v>1</v>
      </c>
      <c r="V9" s="13">
        <v>1</v>
      </c>
      <c r="W9" s="1"/>
      <c r="X9" s="1">
        <f t="shared" si="5"/>
        <v>0</v>
      </c>
      <c r="Y9" s="1">
        <f t="shared" si="6"/>
        <v>1</v>
      </c>
      <c r="Z9" s="1" t="b">
        <f t="shared" si="7"/>
        <v>0</v>
      </c>
      <c r="AA9" s="1" t="str">
        <f t="shared" si="8"/>
        <v>8</v>
      </c>
      <c r="AB9" s="1" t="str">
        <f t="shared" si="9"/>
        <v>Wrong</v>
      </c>
      <c r="AC9" s="1"/>
      <c r="AD9">
        <f t="shared" ref="AD9:AD18" si="17">AD8-1</f>
        <v>9</v>
      </c>
      <c r="AE9">
        <f t="shared" si="14"/>
        <v>4</v>
      </c>
      <c r="AI9">
        <f t="shared" si="15"/>
        <v>7</v>
      </c>
      <c r="AJ9" s="20" t="s">
        <v>9</v>
      </c>
      <c r="AK9" s="20">
        <f t="shared" si="10"/>
        <v>4</v>
      </c>
      <c r="AL9" s="46">
        <f t="shared" si="12"/>
        <v>4</v>
      </c>
      <c r="AM9" s="22"/>
      <c r="AO9">
        <f t="shared" si="16"/>
        <v>7</v>
      </c>
      <c r="AP9" s="20" t="s">
        <v>9</v>
      </c>
      <c r="AQ9" s="47">
        <f t="shared" si="11"/>
        <v>0</v>
      </c>
      <c r="AR9" s="47">
        <f t="shared" si="13"/>
        <v>0</v>
      </c>
      <c r="AS9" s="48"/>
    </row>
    <row r="10" spans="1:46" x14ac:dyDescent="0.25">
      <c r="A10" s="2">
        <f t="shared" si="4"/>
        <v>6</v>
      </c>
      <c r="B10" s="5" t="s">
        <v>10</v>
      </c>
      <c r="C10" s="5" t="s">
        <v>56</v>
      </c>
      <c r="D10" s="5" t="s">
        <v>44</v>
      </c>
      <c r="E10" s="5" t="s">
        <v>52</v>
      </c>
      <c r="F10" s="5" t="s">
        <v>13</v>
      </c>
      <c r="I10" s="6">
        <v>8</v>
      </c>
      <c r="J10" s="6">
        <v>2</v>
      </c>
      <c r="K10" s="6">
        <v>6</v>
      </c>
      <c r="L10" s="6">
        <v>8</v>
      </c>
      <c r="M10" s="1" t="str">
        <f t="shared" si="0"/>
        <v/>
      </c>
      <c r="O10" s="5" t="s">
        <v>31</v>
      </c>
      <c r="P10" s="5" t="s">
        <v>34</v>
      </c>
      <c r="Q10" s="5" t="s">
        <v>35</v>
      </c>
      <c r="R10" s="5" t="s">
        <v>43</v>
      </c>
      <c r="S10" s="5" t="s">
        <v>38</v>
      </c>
      <c r="T10" s="1"/>
      <c r="U10" s="13">
        <v>1</v>
      </c>
      <c r="V10" s="13">
        <v>1</v>
      </c>
      <c r="W10" s="1"/>
      <c r="X10" s="1">
        <f t="shared" si="5"/>
        <v>0</v>
      </c>
      <c r="Y10" s="1">
        <f t="shared" si="6"/>
        <v>0</v>
      </c>
      <c r="Z10" s="1" t="b">
        <f t="shared" si="7"/>
        <v>0</v>
      </c>
      <c r="AA10" s="1" t="str">
        <f t="shared" si="8"/>
        <v>8</v>
      </c>
      <c r="AB10" s="1" t="str">
        <f t="shared" si="9"/>
        <v>Wrong</v>
      </c>
      <c r="AC10" s="1"/>
      <c r="AD10">
        <f t="shared" si="17"/>
        <v>8</v>
      </c>
      <c r="AE10">
        <f t="shared" si="14"/>
        <v>0</v>
      </c>
      <c r="AI10">
        <f t="shared" si="15"/>
        <v>6</v>
      </c>
      <c r="AJ10" s="20" t="s">
        <v>64</v>
      </c>
      <c r="AK10" s="20">
        <f t="shared" si="10"/>
        <v>6</v>
      </c>
      <c r="AL10" s="46">
        <f t="shared" si="12"/>
        <v>4</v>
      </c>
      <c r="AM10" s="46">
        <f>COUNTIF($AA$5:$AA$150,$AI10&amp;AM$4)</f>
        <v>4</v>
      </c>
      <c r="AO10">
        <f t="shared" si="16"/>
        <v>6</v>
      </c>
      <c r="AP10" s="20" t="s">
        <v>64</v>
      </c>
      <c r="AQ10" s="47">
        <f t="shared" si="11"/>
        <v>0</v>
      </c>
      <c r="AR10" s="47">
        <f t="shared" si="13"/>
        <v>0</v>
      </c>
      <c r="AS10" s="47">
        <f>COUNTIF($AB$5:$AB$150,$AO10&amp;AS$4)/AM10</f>
        <v>0</v>
      </c>
    </row>
    <row r="11" spans="1:46" x14ac:dyDescent="0.25">
      <c r="A11" s="2">
        <f t="shared" si="4"/>
        <v>7</v>
      </c>
      <c r="B11" s="5" t="s">
        <v>61</v>
      </c>
      <c r="C11" s="5" t="s">
        <v>2</v>
      </c>
      <c r="D11" s="5" t="s">
        <v>58</v>
      </c>
      <c r="E11" s="5" t="s">
        <v>14</v>
      </c>
      <c r="F11" s="5" t="s">
        <v>12</v>
      </c>
      <c r="I11" s="6">
        <v>8</v>
      </c>
      <c r="J11" s="6">
        <v>2</v>
      </c>
      <c r="K11" s="6">
        <v>3</v>
      </c>
      <c r="L11" s="6">
        <v>8</v>
      </c>
      <c r="M11" s="1" t="str">
        <f t="shared" si="0"/>
        <v/>
      </c>
      <c r="O11" s="5" t="s">
        <v>56</v>
      </c>
      <c r="P11" s="5" t="s">
        <v>41</v>
      </c>
      <c r="Q11" s="5" t="s">
        <v>48</v>
      </c>
      <c r="R11" s="5" t="s">
        <v>62</v>
      </c>
      <c r="S11" s="5" t="s">
        <v>38</v>
      </c>
      <c r="T11" s="1"/>
      <c r="U11" s="13">
        <v>1</v>
      </c>
      <c r="V11" s="13">
        <v>1</v>
      </c>
      <c r="W11" s="1"/>
      <c r="X11" s="1">
        <f t="shared" si="5"/>
        <v>0</v>
      </c>
      <c r="Y11" s="1">
        <f t="shared" si="6"/>
        <v>0</v>
      </c>
      <c r="Z11" s="1" t="b">
        <f t="shared" si="7"/>
        <v>0</v>
      </c>
      <c r="AA11" s="1" t="str">
        <f t="shared" si="8"/>
        <v>8</v>
      </c>
      <c r="AB11" s="1" t="str">
        <f t="shared" si="9"/>
        <v>Wrong</v>
      </c>
      <c r="AC11" s="1"/>
      <c r="AD11">
        <f t="shared" si="17"/>
        <v>7</v>
      </c>
      <c r="AE11">
        <f t="shared" si="14"/>
        <v>0</v>
      </c>
      <c r="AI11">
        <f t="shared" si="15"/>
        <v>5</v>
      </c>
      <c r="AJ11" s="20" t="s">
        <v>70</v>
      </c>
      <c r="AK11" s="20">
        <f t="shared" si="10"/>
        <v>6</v>
      </c>
      <c r="AL11" s="20">
        <f t="shared" si="12"/>
        <v>4</v>
      </c>
      <c r="AM11" s="20">
        <f>COUNTIF($AA$5:$AA$150,$AI11&amp;AM$4)</f>
        <v>4</v>
      </c>
      <c r="AO11">
        <f t="shared" si="16"/>
        <v>5</v>
      </c>
      <c r="AP11" s="20" t="s">
        <v>70</v>
      </c>
      <c r="AQ11" s="47">
        <f t="shared" si="11"/>
        <v>0</v>
      </c>
      <c r="AR11" s="47">
        <f t="shared" si="13"/>
        <v>0</v>
      </c>
      <c r="AS11" s="47">
        <f>COUNTIF($AB$5:$AB$150,$AO11&amp;AS$4)/AM11</f>
        <v>0</v>
      </c>
    </row>
    <row r="12" spans="1:46" x14ac:dyDescent="0.25">
      <c r="A12" s="2">
        <f t="shared" si="4"/>
        <v>8</v>
      </c>
      <c r="B12" s="5" t="s">
        <v>53</v>
      </c>
      <c r="C12" s="5" t="s">
        <v>51</v>
      </c>
      <c r="D12" s="5" t="s">
        <v>4</v>
      </c>
      <c r="E12" s="5" t="s">
        <v>60</v>
      </c>
      <c r="F12" s="5" t="s">
        <v>61</v>
      </c>
      <c r="I12" s="6">
        <v>7</v>
      </c>
      <c r="J12" s="6">
        <v>1</v>
      </c>
      <c r="K12" s="6">
        <v>7</v>
      </c>
      <c r="L12" s="6">
        <v>1</v>
      </c>
      <c r="M12" s="1" t="str">
        <f t="shared" si="0"/>
        <v/>
      </c>
      <c r="O12" s="5" t="s">
        <v>38</v>
      </c>
      <c r="P12" s="5" t="s">
        <v>29</v>
      </c>
      <c r="Q12" s="5" t="s">
        <v>56</v>
      </c>
      <c r="R12" s="5" t="s">
        <v>59</v>
      </c>
      <c r="S12" s="5" t="s">
        <v>45</v>
      </c>
      <c r="T12" s="1"/>
      <c r="U12" s="13">
        <v>1</v>
      </c>
      <c r="V12" s="13">
        <v>1</v>
      </c>
      <c r="W12" s="1"/>
      <c r="X12" s="1">
        <f t="shared" si="5"/>
        <v>0</v>
      </c>
      <c r="Y12" s="1">
        <f t="shared" si="6"/>
        <v>1</v>
      </c>
      <c r="Z12" s="1" t="b">
        <f t="shared" si="7"/>
        <v>0</v>
      </c>
      <c r="AA12" s="1" t="str">
        <f t="shared" si="8"/>
        <v>7</v>
      </c>
      <c r="AB12" s="1" t="str">
        <f t="shared" si="9"/>
        <v>Wrong</v>
      </c>
      <c r="AC12" s="1"/>
      <c r="AD12">
        <f t="shared" si="17"/>
        <v>6</v>
      </c>
      <c r="AE12">
        <f t="shared" si="14"/>
        <v>4</v>
      </c>
      <c r="AI12">
        <f t="shared" si="15"/>
        <v>4</v>
      </c>
      <c r="AJ12" s="20" t="s">
        <v>7</v>
      </c>
      <c r="AK12" s="20">
        <f t="shared" si="10"/>
        <v>16</v>
      </c>
      <c r="AL12" s="20">
        <f t="shared" si="12"/>
        <v>2</v>
      </c>
      <c r="AM12" s="22"/>
      <c r="AO12">
        <f t="shared" si="16"/>
        <v>4</v>
      </c>
      <c r="AP12" s="20" t="s">
        <v>7</v>
      </c>
      <c r="AQ12" s="47">
        <f t="shared" si="11"/>
        <v>0</v>
      </c>
      <c r="AR12" s="47">
        <f t="shared" si="13"/>
        <v>0</v>
      </c>
      <c r="AS12" s="48"/>
    </row>
    <row r="13" spans="1:46" x14ac:dyDescent="0.25">
      <c r="A13" s="2">
        <f t="shared" si="4"/>
        <v>9</v>
      </c>
      <c r="B13" s="5" t="s">
        <v>51</v>
      </c>
      <c r="C13" s="5" t="s">
        <v>58</v>
      </c>
      <c r="D13" s="5" t="s">
        <v>10</v>
      </c>
      <c r="E13" s="5" t="s">
        <v>60</v>
      </c>
      <c r="F13" s="5" t="s">
        <v>2</v>
      </c>
      <c r="I13" s="6">
        <v>7</v>
      </c>
      <c r="J13" s="6">
        <v>2</v>
      </c>
      <c r="K13" s="6">
        <v>4</v>
      </c>
      <c r="L13" s="6">
        <v>7</v>
      </c>
      <c r="M13" s="1" t="str">
        <f t="shared" si="0"/>
        <v/>
      </c>
      <c r="O13" s="5" t="s">
        <v>4</v>
      </c>
      <c r="P13" s="5" t="s">
        <v>34</v>
      </c>
      <c r="Q13" s="5" t="s">
        <v>43</v>
      </c>
      <c r="R13" s="5" t="s">
        <v>31</v>
      </c>
      <c r="S13" s="5" t="s">
        <v>22</v>
      </c>
      <c r="T13" s="1"/>
      <c r="U13" s="13">
        <v>1</v>
      </c>
      <c r="V13" s="13">
        <v>1</v>
      </c>
      <c r="W13" s="1"/>
      <c r="X13" s="1">
        <f t="shared" si="5"/>
        <v>0</v>
      </c>
      <c r="Y13" s="1">
        <f t="shared" si="6"/>
        <v>0</v>
      </c>
      <c r="Z13" s="1" t="b">
        <f t="shared" si="7"/>
        <v>0</v>
      </c>
      <c r="AA13" s="1" t="str">
        <f t="shared" si="8"/>
        <v>7</v>
      </c>
      <c r="AB13" s="1" t="str">
        <f t="shared" si="9"/>
        <v>Wrong</v>
      </c>
      <c r="AC13" s="1"/>
      <c r="AD13">
        <f t="shared" si="17"/>
        <v>5</v>
      </c>
      <c r="AE13">
        <f t="shared" si="14"/>
        <v>4</v>
      </c>
      <c r="AI13">
        <f t="shared" si="15"/>
        <v>3</v>
      </c>
      <c r="AJ13" s="20" t="s">
        <v>8</v>
      </c>
      <c r="AK13" s="20">
        <f t="shared" si="10"/>
        <v>8</v>
      </c>
      <c r="AL13" s="20">
        <f t="shared" si="12"/>
        <v>8</v>
      </c>
      <c r="AM13" s="46">
        <f>COUNTIF($AA$5:$AA$150,$AI13&amp;AM$4)</f>
        <v>4</v>
      </c>
      <c r="AO13">
        <f t="shared" si="16"/>
        <v>3</v>
      </c>
      <c r="AP13" s="20" t="s">
        <v>8</v>
      </c>
      <c r="AQ13" s="47">
        <f t="shared" si="11"/>
        <v>0</v>
      </c>
      <c r="AR13" s="47">
        <f t="shared" si="13"/>
        <v>0</v>
      </c>
      <c r="AS13" s="47">
        <f>COUNTIF($AB$5:$AB$150,$AO13&amp;AS$4)/AM13</f>
        <v>0</v>
      </c>
    </row>
    <row r="14" spans="1:46" x14ac:dyDescent="0.25">
      <c r="A14" s="2">
        <f t="shared" si="4"/>
        <v>10</v>
      </c>
      <c r="B14" s="5" t="s">
        <v>21</v>
      </c>
      <c r="C14" s="5" t="s">
        <v>22</v>
      </c>
      <c r="D14" s="5" t="s">
        <v>23</v>
      </c>
      <c r="E14" s="5" t="s">
        <v>24</v>
      </c>
      <c r="F14" s="5" t="s">
        <v>25</v>
      </c>
      <c r="I14" s="6">
        <v>6</v>
      </c>
      <c r="J14" s="6">
        <v>1</v>
      </c>
      <c r="K14" s="6">
        <v>6</v>
      </c>
      <c r="L14" s="6">
        <v>1</v>
      </c>
      <c r="M14" s="1" t="str">
        <f t="shared" si="0"/>
        <v/>
      </c>
      <c r="O14" s="5" t="s">
        <v>55</v>
      </c>
      <c r="P14" s="5" t="s">
        <v>51</v>
      </c>
      <c r="Q14" s="5" t="s">
        <v>59</v>
      </c>
      <c r="R14" s="5" t="s">
        <v>2</v>
      </c>
      <c r="S14" s="5" t="s">
        <v>54</v>
      </c>
      <c r="T14" s="1"/>
      <c r="U14" s="13">
        <v>1</v>
      </c>
      <c r="V14" s="13">
        <v>1</v>
      </c>
      <c r="W14" s="1"/>
      <c r="X14" s="1">
        <f t="shared" si="5"/>
        <v>0</v>
      </c>
      <c r="Y14" s="1">
        <f t="shared" si="6"/>
        <v>1</v>
      </c>
      <c r="Z14" s="1" t="b">
        <f t="shared" si="7"/>
        <v>0</v>
      </c>
      <c r="AA14" s="1" t="str">
        <f t="shared" si="8"/>
        <v>6</v>
      </c>
      <c r="AB14" s="1" t="str">
        <f t="shared" si="9"/>
        <v>Wrong</v>
      </c>
      <c r="AC14" s="1"/>
      <c r="AD14">
        <f t="shared" si="17"/>
        <v>4</v>
      </c>
      <c r="AE14">
        <f t="shared" si="14"/>
        <v>0</v>
      </c>
      <c r="AI14">
        <f t="shared" si="15"/>
        <v>2</v>
      </c>
      <c r="AJ14" s="20" t="s">
        <v>6</v>
      </c>
      <c r="AK14" s="20">
        <f t="shared" si="10"/>
        <v>10</v>
      </c>
      <c r="AL14" s="20">
        <f t="shared" si="12"/>
        <v>8</v>
      </c>
      <c r="AM14" s="20">
        <f>COUNTIF($AA$5:$AA$150,$AI14&amp;AM$4)</f>
        <v>4</v>
      </c>
      <c r="AO14">
        <f t="shared" si="16"/>
        <v>2</v>
      </c>
      <c r="AP14" s="20" t="s">
        <v>6</v>
      </c>
      <c r="AQ14" s="47">
        <f t="shared" si="11"/>
        <v>0</v>
      </c>
      <c r="AR14" s="47">
        <f t="shared" si="13"/>
        <v>0</v>
      </c>
      <c r="AS14" s="47">
        <f>COUNTIF($AB$5:$AB$150,$AO14&amp;AS$4)/AM14</f>
        <v>0</v>
      </c>
    </row>
    <row r="15" spans="1:46" x14ac:dyDescent="0.25">
      <c r="A15" s="2">
        <f t="shared" si="4"/>
        <v>11</v>
      </c>
      <c r="B15" s="5" t="s">
        <v>10</v>
      </c>
      <c r="C15" s="5" t="s">
        <v>56</v>
      </c>
      <c r="D15" s="5" t="s">
        <v>44</v>
      </c>
      <c r="E15" s="5" t="s">
        <v>52</v>
      </c>
      <c r="F15" s="5" t="s">
        <v>13</v>
      </c>
      <c r="I15" s="6">
        <v>6</v>
      </c>
      <c r="J15" s="6">
        <v>1</v>
      </c>
      <c r="K15" s="6">
        <v>6</v>
      </c>
      <c r="L15" s="6">
        <v>1</v>
      </c>
      <c r="M15" s="1" t="str">
        <f t="shared" si="0"/>
        <v/>
      </c>
      <c r="O15" s="5" t="s">
        <v>48</v>
      </c>
      <c r="P15" s="5" t="s">
        <v>36</v>
      </c>
      <c r="Q15" s="5" t="s">
        <v>25</v>
      </c>
      <c r="R15" s="5" t="s">
        <v>23</v>
      </c>
      <c r="S15" s="5" t="s">
        <v>28</v>
      </c>
      <c r="T15" s="1"/>
      <c r="U15" s="13">
        <v>1</v>
      </c>
      <c r="V15" s="13">
        <v>1</v>
      </c>
      <c r="W15" s="1"/>
      <c r="X15" s="1">
        <f t="shared" si="5"/>
        <v>0</v>
      </c>
      <c r="Y15" s="1">
        <f t="shared" si="6"/>
        <v>1</v>
      </c>
      <c r="Z15" s="1" t="b">
        <f t="shared" si="7"/>
        <v>0</v>
      </c>
      <c r="AA15" s="1" t="str">
        <f t="shared" si="8"/>
        <v>6</v>
      </c>
      <c r="AB15" s="1" t="str">
        <f t="shared" si="9"/>
        <v>Wrong</v>
      </c>
      <c r="AC15" s="1"/>
      <c r="AD15">
        <f t="shared" si="17"/>
        <v>3</v>
      </c>
      <c r="AE15">
        <f t="shared" si="14"/>
        <v>4</v>
      </c>
      <c r="AI15">
        <f t="shared" si="15"/>
        <v>1</v>
      </c>
      <c r="AJ15" s="20" t="s">
        <v>5</v>
      </c>
      <c r="AK15" s="22"/>
      <c r="AL15" s="20">
        <f t="shared" si="12"/>
        <v>16</v>
      </c>
      <c r="AM15" s="20">
        <f>COUNTIF($AA$5:$AA$150,$AI15&amp;AM$4)</f>
        <v>4</v>
      </c>
      <c r="AO15">
        <f t="shared" si="16"/>
        <v>1</v>
      </c>
      <c r="AP15" s="20" t="s">
        <v>5</v>
      </c>
      <c r="AQ15" s="48"/>
      <c r="AR15" s="47">
        <f t="shared" si="13"/>
        <v>0.5</v>
      </c>
      <c r="AS15" s="47">
        <f>COUNTIF($AB$5:$AB$150,$AO15&amp;AS$4)/AM15</f>
        <v>0</v>
      </c>
    </row>
    <row r="16" spans="1:46" x14ac:dyDescent="0.25">
      <c r="A16" s="2">
        <f t="shared" si="4"/>
        <v>12</v>
      </c>
      <c r="B16" s="5" t="s">
        <v>58</v>
      </c>
      <c r="C16" s="5" t="s">
        <v>54</v>
      </c>
      <c r="D16" s="5" t="s">
        <v>49</v>
      </c>
      <c r="E16" s="5" t="s">
        <v>41</v>
      </c>
      <c r="F16" s="5" t="s">
        <v>31</v>
      </c>
      <c r="I16" s="6">
        <v>6</v>
      </c>
      <c r="J16" s="6">
        <v>1</v>
      </c>
      <c r="K16" s="6">
        <v>6</v>
      </c>
      <c r="L16" s="6">
        <v>1</v>
      </c>
      <c r="M16" s="1" t="str">
        <f t="shared" si="0"/>
        <v/>
      </c>
      <c r="O16" s="5" t="s">
        <v>51</v>
      </c>
      <c r="P16" s="5" t="s">
        <v>39</v>
      </c>
      <c r="Q16" s="5" t="s">
        <v>43</v>
      </c>
      <c r="R16" s="5" t="s">
        <v>37</v>
      </c>
      <c r="S16" s="5" t="s">
        <v>61</v>
      </c>
      <c r="T16" s="1"/>
      <c r="U16" s="13">
        <v>1</v>
      </c>
      <c r="V16" s="13">
        <v>1</v>
      </c>
      <c r="W16" s="1"/>
      <c r="X16" s="1">
        <f t="shared" si="5"/>
        <v>0</v>
      </c>
      <c r="Y16" s="1">
        <f t="shared" si="6"/>
        <v>1</v>
      </c>
      <c r="Z16" s="1" t="b">
        <f t="shared" si="7"/>
        <v>0</v>
      </c>
      <c r="AA16" s="1" t="str">
        <f t="shared" si="8"/>
        <v>6</v>
      </c>
      <c r="AB16" s="1" t="str">
        <f t="shared" si="9"/>
        <v>Wrong</v>
      </c>
      <c r="AC16" s="1"/>
      <c r="AD16">
        <f t="shared" si="17"/>
        <v>2</v>
      </c>
      <c r="AE16">
        <f t="shared" si="14"/>
        <v>4</v>
      </c>
    </row>
    <row r="17" spans="1:32" x14ac:dyDescent="0.25">
      <c r="A17" s="2">
        <f t="shared" si="4"/>
        <v>13</v>
      </c>
      <c r="B17" s="5" t="s">
        <v>44</v>
      </c>
      <c r="C17" s="5" t="s">
        <v>62</v>
      </c>
      <c r="D17" s="5" t="s">
        <v>59</v>
      </c>
      <c r="E17" s="5" t="s">
        <v>46</v>
      </c>
      <c r="F17" s="5" t="s">
        <v>58</v>
      </c>
      <c r="I17" s="6">
        <v>5</v>
      </c>
      <c r="J17" s="6">
        <v>1</v>
      </c>
      <c r="K17" s="6">
        <v>5</v>
      </c>
      <c r="L17" s="6">
        <v>2</v>
      </c>
      <c r="M17" s="1" t="str">
        <f t="shared" si="0"/>
        <v/>
      </c>
      <c r="O17" s="5" t="s">
        <v>3</v>
      </c>
      <c r="P17" s="5" t="s">
        <v>15</v>
      </c>
      <c r="Q17" s="5" t="s">
        <v>28</v>
      </c>
      <c r="R17" s="5" t="s">
        <v>24</v>
      </c>
      <c r="S17" s="5" t="s">
        <v>48</v>
      </c>
      <c r="T17" s="1"/>
      <c r="U17" s="13">
        <v>1</v>
      </c>
      <c r="V17" s="13">
        <v>1</v>
      </c>
      <c r="W17" s="1"/>
      <c r="X17" s="1">
        <f t="shared" si="5"/>
        <v>0</v>
      </c>
      <c r="Y17" s="1">
        <f t="shared" si="6"/>
        <v>1</v>
      </c>
      <c r="Z17" s="1" t="b">
        <f t="shared" si="7"/>
        <v>0</v>
      </c>
      <c r="AA17" s="1" t="str">
        <f t="shared" si="8"/>
        <v>5</v>
      </c>
      <c r="AB17" s="1" t="str">
        <f t="shared" si="9"/>
        <v>Wrong</v>
      </c>
      <c r="AC17" s="1"/>
      <c r="AD17">
        <f t="shared" si="17"/>
        <v>1</v>
      </c>
      <c r="AE17">
        <f t="shared" si="14"/>
        <v>4</v>
      </c>
    </row>
    <row r="18" spans="1:32" x14ac:dyDescent="0.25">
      <c r="A18" s="2">
        <f t="shared" si="4"/>
        <v>14</v>
      </c>
      <c r="B18" s="5" t="s">
        <v>57</v>
      </c>
      <c r="C18" s="5" t="s">
        <v>41</v>
      </c>
      <c r="D18" s="5" t="s">
        <v>48</v>
      </c>
      <c r="E18" s="5" t="s">
        <v>56</v>
      </c>
      <c r="F18" s="5" t="s">
        <v>46</v>
      </c>
      <c r="I18" s="6">
        <v>5</v>
      </c>
      <c r="J18" s="6">
        <v>2</v>
      </c>
      <c r="K18" s="6">
        <v>4</v>
      </c>
      <c r="L18" s="6">
        <v>5</v>
      </c>
      <c r="M18" s="1" t="str">
        <f t="shared" si="0"/>
        <v/>
      </c>
      <c r="O18" s="5" t="s">
        <v>40</v>
      </c>
      <c r="P18" s="5" t="s">
        <v>34</v>
      </c>
      <c r="Q18" s="5" t="s">
        <v>53</v>
      </c>
      <c r="R18" s="5" t="s">
        <v>14</v>
      </c>
      <c r="S18" s="5" t="s">
        <v>30</v>
      </c>
      <c r="T18" s="1"/>
      <c r="U18" s="13">
        <v>1</v>
      </c>
      <c r="V18" s="13">
        <v>1</v>
      </c>
      <c r="W18" s="1"/>
      <c r="X18" s="1">
        <f t="shared" si="5"/>
        <v>0</v>
      </c>
      <c r="Y18" s="1">
        <f t="shared" si="6"/>
        <v>0</v>
      </c>
      <c r="Z18" s="1" t="b">
        <f t="shared" si="7"/>
        <v>0</v>
      </c>
      <c r="AA18" s="1" t="str">
        <f t="shared" si="8"/>
        <v>5</v>
      </c>
      <c r="AB18" s="1" t="str">
        <f t="shared" si="9"/>
        <v>Wrong</v>
      </c>
      <c r="AC18" s="1"/>
      <c r="AD18">
        <f t="shared" si="17"/>
        <v>0</v>
      </c>
      <c r="AE18">
        <f t="shared" si="14"/>
        <v>0</v>
      </c>
      <c r="AF18" s="1"/>
    </row>
    <row r="19" spans="1:32" x14ac:dyDescent="0.25">
      <c r="A19" s="2">
        <f t="shared" si="4"/>
        <v>15</v>
      </c>
      <c r="B19" s="5" t="s">
        <v>30</v>
      </c>
      <c r="C19" s="5" t="s">
        <v>28</v>
      </c>
      <c r="D19" s="5" t="s">
        <v>33</v>
      </c>
      <c r="E19" s="5" t="s">
        <v>52</v>
      </c>
      <c r="F19" s="5" t="s">
        <v>39</v>
      </c>
      <c r="I19" s="6">
        <v>5</v>
      </c>
      <c r="J19" s="6">
        <v>2</v>
      </c>
      <c r="K19" s="6">
        <v>3</v>
      </c>
      <c r="L19" s="6">
        <v>5</v>
      </c>
      <c r="M19" s="1" t="str">
        <f t="shared" si="0"/>
        <v/>
      </c>
      <c r="O19" s="5" t="s">
        <v>59</v>
      </c>
      <c r="P19" s="5" t="s">
        <v>37</v>
      </c>
      <c r="Q19" s="5" t="s">
        <v>38</v>
      </c>
      <c r="R19" s="5" t="s">
        <v>2</v>
      </c>
      <c r="S19" s="5" t="s">
        <v>56</v>
      </c>
      <c r="T19" s="1"/>
      <c r="U19" s="13">
        <v>1</v>
      </c>
      <c r="V19" s="13">
        <v>1</v>
      </c>
      <c r="W19" s="1"/>
      <c r="X19" s="1">
        <f t="shared" si="5"/>
        <v>0</v>
      </c>
      <c r="Y19" s="1">
        <f t="shared" si="6"/>
        <v>0</v>
      </c>
      <c r="Z19" s="1" t="b">
        <f t="shared" si="7"/>
        <v>0</v>
      </c>
      <c r="AA19" s="1" t="str">
        <f t="shared" si="8"/>
        <v>5</v>
      </c>
      <c r="AB19" s="1" t="str">
        <f t="shared" si="9"/>
        <v>Wrong</v>
      </c>
      <c r="AC19" s="1"/>
      <c r="AD19" s="1"/>
      <c r="AE19" s="1"/>
      <c r="AF19" s="1"/>
    </row>
    <row r="20" spans="1:32" x14ac:dyDescent="0.25">
      <c r="A20" s="2">
        <f t="shared" si="4"/>
        <v>16</v>
      </c>
      <c r="B20" s="5" t="s">
        <v>10</v>
      </c>
      <c r="C20" s="5" t="s">
        <v>32</v>
      </c>
      <c r="D20" s="5" t="s">
        <v>2</v>
      </c>
      <c r="E20" s="5" t="s">
        <v>0</v>
      </c>
      <c r="F20" s="5" t="s">
        <v>29</v>
      </c>
      <c r="I20" s="6">
        <v>4</v>
      </c>
      <c r="J20" s="6">
        <v>1</v>
      </c>
      <c r="K20" s="6">
        <v>4</v>
      </c>
      <c r="L20" s="6">
        <v>1</v>
      </c>
      <c r="M20" s="1" t="str">
        <f t="shared" si="0"/>
        <v/>
      </c>
      <c r="O20" s="5" t="s">
        <v>45</v>
      </c>
      <c r="P20" s="5" t="s">
        <v>38</v>
      </c>
      <c r="Q20" s="5" t="s">
        <v>59</v>
      </c>
      <c r="R20" s="5" t="s">
        <v>57</v>
      </c>
      <c r="S20" s="5" t="s">
        <v>3</v>
      </c>
      <c r="T20" s="1"/>
      <c r="U20" s="13">
        <v>1</v>
      </c>
      <c r="V20" s="13">
        <v>1</v>
      </c>
      <c r="W20" s="1"/>
      <c r="X20" s="1">
        <f t="shared" si="5"/>
        <v>0</v>
      </c>
      <c r="Y20" s="1">
        <f t="shared" si="6"/>
        <v>1</v>
      </c>
      <c r="Z20" s="1" t="b">
        <f t="shared" si="7"/>
        <v>0</v>
      </c>
      <c r="AA20" s="1" t="str">
        <f t="shared" si="8"/>
        <v>4</v>
      </c>
      <c r="AB20" s="1" t="str">
        <f t="shared" si="9"/>
        <v>Wrong</v>
      </c>
      <c r="AC20" s="1"/>
      <c r="AD20" s="1"/>
      <c r="AE20" s="1"/>
      <c r="AF20" s="1"/>
    </row>
    <row r="21" spans="1:32" x14ac:dyDescent="0.25">
      <c r="A21" s="2">
        <f t="shared" si="4"/>
        <v>17</v>
      </c>
      <c r="B21" s="5" t="s">
        <v>44</v>
      </c>
      <c r="C21" s="5" t="s">
        <v>13</v>
      </c>
      <c r="D21" s="5" t="s">
        <v>50</v>
      </c>
      <c r="E21" s="5" t="s">
        <v>10</v>
      </c>
      <c r="F21" s="5" t="s">
        <v>37</v>
      </c>
      <c r="I21" s="6">
        <v>4</v>
      </c>
      <c r="J21" s="6">
        <v>1</v>
      </c>
      <c r="K21" s="6">
        <v>4</v>
      </c>
      <c r="L21" s="6">
        <v>3</v>
      </c>
      <c r="M21" s="1" t="str">
        <f t="shared" si="0"/>
        <v/>
      </c>
      <c r="O21" s="5" t="s">
        <v>2</v>
      </c>
      <c r="P21" s="5" t="s">
        <v>32</v>
      </c>
      <c r="Q21" s="5" t="s">
        <v>3</v>
      </c>
      <c r="R21" s="5" t="s">
        <v>31</v>
      </c>
      <c r="S21" s="5" t="s">
        <v>35</v>
      </c>
      <c r="T21" s="1"/>
      <c r="U21" s="13">
        <v>1</v>
      </c>
      <c r="V21" s="13">
        <v>1</v>
      </c>
      <c r="W21" s="1"/>
      <c r="X21" s="1">
        <f t="shared" si="5"/>
        <v>0</v>
      </c>
      <c r="Y21" s="1">
        <f t="shared" si="6"/>
        <v>1</v>
      </c>
      <c r="Z21" s="1" t="b">
        <f t="shared" si="7"/>
        <v>0</v>
      </c>
      <c r="AA21" s="1" t="str">
        <f t="shared" si="8"/>
        <v>4</v>
      </c>
      <c r="AB21" s="1" t="str">
        <f t="shared" si="9"/>
        <v>Wrong</v>
      </c>
      <c r="AC21" s="1"/>
      <c r="AD21" s="1"/>
      <c r="AE21" s="1"/>
      <c r="AF21" s="1"/>
    </row>
    <row r="22" spans="1:32" x14ac:dyDescent="0.25">
      <c r="A22" s="2">
        <f t="shared" si="4"/>
        <v>18</v>
      </c>
      <c r="B22" s="5" t="s">
        <v>36</v>
      </c>
      <c r="C22" s="5" t="s">
        <v>38</v>
      </c>
      <c r="D22" s="5" t="s">
        <v>43</v>
      </c>
      <c r="E22" s="5" t="s">
        <v>21</v>
      </c>
      <c r="F22" s="5" t="s">
        <v>40</v>
      </c>
      <c r="I22" s="6">
        <v>4</v>
      </c>
      <c r="J22" s="6">
        <v>1</v>
      </c>
      <c r="K22" s="6">
        <v>4</v>
      </c>
      <c r="L22" s="6">
        <v>2</v>
      </c>
      <c r="M22" s="1" t="str">
        <f t="shared" si="0"/>
        <v/>
      </c>
      <c r="O22" s="5" t="s">
        <v>61</v>
      </c>
      <c r="P22" s="5" t="s">
        <v>4</v>
      </c>
      <c r="Q22" s="5" t="s">
        <v>41</v>
      </c>
      <c r="R22" s="5" t="s">
        <v>13</v>
      </c>
      <c r="S22" s="5" t="s">
        <v>12</v>
      </c>
      <c r="T22" s="1"/>
      <c r="U22" s="13">
        <v>1</v>
      </c>
      <c r="V22" s="13">
        <v>1</v>
      </c>
      <c r="W22" s="1"/>
      <c r="X22" s="1">
        <f t="shared" si="5"/>
        <v>0</v>
      </c>
      <c r="Y22" s="1">
        <f t="shared" si="6"/>
        <v>1</v>
      </c>
      <c r="Z22" s="1" t="b">
        <f t="shared" si="7"/>
        <v>0</v>
      </c>
      <c r="AA22" s="1" t="str">
        <f t="shared" si="8"/>
        <v>4</v>
      </c>
      <c r="AB22" s="1" t="str">
        <f t="shared" si="9"/>
        <v>Wrong</v>
      </c>
      <c r="AC22" s="1"/>
      <c r="AD22" s="1"/>
      <c r="AE22" s="1"/>
      <c r="AF22" s="1"/>
    </row>
    <row r="23" spans="1:32" x14ac:dyDescent="0.25">
      <c r="A23" s="2">
        <f t="shared" si="4"/>
        <v>19</v>
      </c>
      <c r="B23" s="5" t="s">
        <v>10</v>
      </c>
      <c r="C23" s="5" t="s">
        <v>49</v>
      </c>
      <c r="D23" s="5" t="s">
        <v>23</v>
      </c>
      <c r="E23" s="5" t="s">
        <v>14</v>
      </c>
      <c r="F23" s="5" t="s">
        <v>33</v>
      </c>
      <c r="I23" s="6">
        <v>4</v>
      </c>
      <c r="J23" s="6">
        <v>1</v>
      </c>
      <c r="K23" s="6">
        <v>4</v>
      </c>
      <c r="L23" s="6">
        <v>1</v>
      </c>
      <c r="M23" s="1" t="str">
        <f t="shared" si="0"/>
        <v/>
      </c>
      <c r="O23" s="5" t="s">
        <v>62</v>
      </c>
      <c r="P23" s="5" t="s">
        <v>60</v>
      </c>
      <c r="Q23" s="5" t="s">
        <v>21</v>
      </c>
      <c r="R23" s="5" t="s">
        <v>0</v>
      </c>
      <c r="S23" s="5" t="s">
        <v>32</v>
      </c>
      <c r="T23" s="1"/>
      <c r="U23" s="13">
        <v>1</v>
      </c>
      <c r="V23" s="13">
        <v>1</v>
      </c>
      <c r="W23" s="1"/>
      <c r="X23" s="1">
        <f t="shared" si="5"/>
        <v>0</v>
      </c>
      <c r="Y23" s="1">
        <f t="shared" si="6"/>
        <v>1</v>
      </c>
      <c r="Z23" s="1" t="b">
        <f t="shared" si="7"/>
        <v>0</v>
      </c>
      <c r="AA23" s="1" t="str">
        <f t="shared" si="8"/>
        <v>4</v>
      </c>
      <c r="AB23" s="1" t="str">
        <f t="shared" si="9"/>
        <v>Wrong</v>
      </c>
      <c r="AC23" s="1"/>
      <c r="AD23" s="1"/>
      <c r="AE23" s="1"/>
      <c r="AF23" s="1"/>
    </row>
    <row r="24" spans="1:32" x14ac:dyDescent="0.25">
      <c r="A24" s="2">
        <f t="shared" si="4"/>
        <v>20</v>
      </c>
      <c r="B24" s="5" t="s">
        <v>25</v>
      </c>
      <c r="C24" s="5" t="s">
        <v>14</v>
      </c>
      <c r="D24" s="5" t="s">
        <v>27</v>
      </c>
      <c r="E24" s="5" t="s">
        <v>43</v>
      </c>
      <c r="F24" s="5" t="s">
        <v>26</v>
      </c>
      <c r="I24" s="6">
        <v>4</v>
      </c>
      <c r="J24" s="6">
        <v>1</v>
      </c>
      <c r="K24" s="6">
        <v>4</v>
      </c>
      <c r="L24" s="6">
        <v>2</v>
      </c>
      <c r="M24" s="1" t="str">
        <f t="shared" si="0"/>
        <v/>
      </c>
      <c r="O24" s="5" t="s">
        <v>3</v>
      </c>
      <c r="P24" s="5" t="s">
        <v>15</v>
      </c>
      <c r="Q24" s="5" t="s">
        <v>28</v>
      </c>
      <c r="R24" s="5" t="s">
        <v>24</v>
      </c>
      <c r="S24" s="5" t="s">
        <v>48</v>
      </c>
      <c r="T24" s="1"/>
      <c r="U24" s="13">
        <v>1</v>
      </c>
      <c r="V24" s="13">
        <v>1</v>
      </c>
      <c r="W24" s="1"/>
      <c r="X24" s="1">
        <f t="shared" si="5"/>
        <v>0</v>
      </c>
      <c r="Y24" s="1">
        <f t="shared" si="6"/>
        <v>1</v>
      </c>
      <c r="Z24" s="1" t="b">
        <f t="shared" si="7"/>
        <v>0</v>
      </c>
      <c r="AA24" s="1" t="str">
        <f t="shared" si="8"/>
        <v>4</v>
      </c>
      <c r="AB24" s="1" t="str">
        <f t="shared" si="9"/>
        <v>Wrong</v>
      </c>
      <c r="AC24" s="1"/>
      <c r="AD24" s="1"/>
      <c r="AE24" s="1"/>
      <c r="AF24" s="1"/>
    </row>
    <row r="25" spans="1:32" x14ac:dyDescent="0.25">
      <c r="A25" s="2">
        <f t="shared" si="4"/>
        <v>21</v>
      </c>
      <c r="B25" s="5" t="s">
        <v>61</v>
      </c>
      <c r="C25" s="5" t="s">
        <v>14</v>
      </c>
      <c r="D25" s="5" t="s">
        <v>55</v>
      </c>
      <c r="E25" s="5" t="s">
        <v>3</v>
      </c>
      <c r="F25" s="5" t="s">
        <v>60</v>
      </c>
      <c r="I25" s="6">
        <v>4</v>
      </c>
      <c r="J25" s="6">
        <v>1</v>
      </c>
      <c r="K25" s="6">
        <v>4</v>
      </c>
      <c r="L25" s="6">
        <v>2</v>
      </c>
      <c r="M25" s="1" t="str">
        <f t="shared" si="0"/>
        <v/>
      </c>
      <c r="O25" s="5" t="s">
        <v>41</v>
      </c>
      <c r="P25" s="5" t="s">
        <v>1</v>
      </c>
      <c r="Q25" s="5" t="s">
        <v>51</v>
      </c>
      <c r="R25" s="5" t="s">
        <v>53</v>
      </c>
      <c r="S25" s="5" t="s">
        <v>36</v>
      </c>
      <c r="T25" s="1"/>
      <c r="U25" s="13">
        <v>1</v>
      </c>
      <c r="V25" s="13">
        <v>1</v>
      </c>
      <c r="W25" s="1"/>
      <c r="X25" s="1">
        <f t="shared" si="5"/>
        <v>0</v>
      </c>
      <c r="Y25" s="1">
        <f t="shared" si="6"/>
        <v>1</v>
      </c>
      <c r="Z25" s="1" t="b">
        <f t="shared" si="7"/>
        <v>0</v>
      </c>
      <c r="AA25" s="1" t="str">
        <f t="shared" si="8"/>
        <v>4</v>
      </c>
      <c r="AB25" s="1" t="str">
        <f t="shared" si="9"/>
        <v>Wrong</v>
      </c>
      <c r="AC25" s="1"/>
      <c r="AD25" s="1"/>
      <c r="AE25" s="1"/>
      <c r="AF25" s="1"/>
    </row>
    <row r="26" spans="1:32" x14ac:dyDescent="0.25">
      <c r="A26" s="2">
        <f t="shared" si="4"/>
        <v>22</v>
      </c>
      <c r="B26" s="5" t="s">
        <v>58</v>
      </c>
      <c r="C26" s="5" t="s">
        <v>47</v>
      </c>
      <c r="D26" s="5" t="s">
        <v>24</v>
      </c>
      <c r="E26" s="5" t="s">
        <v>3</v>
      </c>
      <c r="F26" s="5" t="s">
        <v>49</v>
      </c>
      <c r="I26" s="6">
        <v>4</v>
      </c>
      <c r="J26" s="6">
        <v>1</v>
      </c>
      <c r="K26" s="6">
        <v>4</v>
      </c>
      <c r="L26" s="6">
        <v>1</v>
      </c>
      <c r="M26" s="1" t="str">
        <f t="shared" si="0"/>
        <v/>
      </c>
      <c r="O26" s="5" t="s">
        <v>51</v>
      </c>
      <c r="P26" s="5" t="s">
        <v>54</v>
      </c>
      <c r="Q26" s="5" t="s">
        <v>46</v>
      </c>
      <c r="R26" s="5" t="s">
        <v>2</v>
      </c>
      <c r="S26" s="5" t="s">
        <v>28</v>
      </c>
      <c r="T26" s="1"/>
      <c r="U26" s="13">
        <v>1</v>
      </c>
      <c r="V26" s="13">
        <v>1</v>
      </c>
      <c r="W26" s="1"/>
      <c r="X26" s="1">
        <f t="shared" si="5"/>
        <v>0</v>
      </c>
      <c r="Y26" s="1">
        <f t="shared" si="6"/>
        <v>1</v>
      </c>
      <c r="Z26" s="1" t="b">
        <f t="shared" si="7"/>
        <v>0</v>
      </c>
      <c r="AA26" s="1" t="str">
        <f t="shared" si="8"/>
        <v>4</v>
      </c>
      <c r="AB26" s="1" t="str">
        <f t="shared" si="9"/>
        <v>Wrong</v>
      </c>
      <c r="AC26" s="1"/>
      <c r="AD26" s="1"/>
      <c r="AE26" s="1"/>
      <c r="AF26" s="1"/>
    </row>
    <row r="27" spans="1:32" x14ac:dyDescent="0.25">
      <c r="A27" s="2">
        <f t="shared" si="4"/>
        <v>23</v>
      </c>
      <c r="B27" s="5" t="s">
        <v>33</v>
      </c>
      <c r="C27" s="5" t="s">
        <v>23</v>
      </c>
      <c r="D27" s="5" t="s">
        <v>62</v>
      </c>
      <c r="E27" s="5" t="s">
        <v>21</v>
      </c>
      <c r="F27" s="5" t="s">
        <v>36</v>
      </c>
      <c r="I27" s="6">
        <v>4</v>
      </c>
      <c r="J27" s="6">
        <v>2</v>
      </c>
      <c r="K27" s="6">
        <v>3</v>
      </c>
      <c r="L27" s="6">
        <v>4</v>
      </c>
      <c r="M27" s="1" t="str">
        <f t="shared" si="0"/>
        <v/>
      </c>
      <c r="O27" s="5" t="s">
        <v>39</v>
      </c>
      <c r="P27" s="5" t="s">
        <v>40</v>
      </c>
      <c r="Q27" s="5" t="s">
        <v>29</v>
      </c>
      <c r="R27" s="5" t="s">
        <v>1</v>
      </c>
      <c r="S27" s="5" t="s">
        <v>22</v>
      </c>
      <c r="T27" s="1"/>
      <c r="U27" s="13">
        <v>1</v>
      </c>
      <c r="V27" s="13">
        <v>1</v>
      </c>
      <c r="W27" s="1"/>
      <c r="X27" s="1">
        <f t="shared" si="5"/>
        <v>0</v>
      </c>
      <c r="Y27" s="1">
        <f t="shared" si="6"/>
        <v>0</v>
      </c>
      <c r="Z27" s="1" t="b">
        <f t="shared" si="7"/>
        <v>0</v>
      </c>
      <c r="AA27" s="1" t="str">
        <f t="shared" si="8"/>
        <v>4</v>
      </c>
      <c r="AB27" s="1" t="str">
        <f t="shared" si="9"/>
        <v>Wrong</v>
      </c>
      <c r="AC27" s="1"/>
      <c r="AD27" s="1"/>
      <c r="AE27" s="1"/>
      <c r="AF27" s="1"/>
    </row>
    <row r="28" spans="1:32" x14ac:dyDescent="0.25">
      <c r="A28" s="2">
        <f t="shared" si="4"/>
        <v>24</v>
      </c>
      <c r="B28" s="5" t="s">
        <v>56</v>
      </c>
      <c r="C28" s="5" t="s">
        <v>52</v>
      </c>
      <c r="D28" s="5" t="s">
        <v>36</v>
      </c>
      <c r="E28" s="5" t="s">
        <v>38</v>
      </c>
      <c r="F28" s="5" t="s">
        <v>62</v>
      </c>
      <c r="I28" s="6">
        <v>3</v>
      </c>
      <c r="J28" s="6">
        <v>1</v>
      </c>
      <c r="K28" s="6">
        <v>3</v>
      </c>
      <c r="L28" s="6">
        <v>2</v>
      </c>
      <c r="M28" s="1" t="str">
        <f t="shared" si="0"/>
        <v/>
      </c>
      <c r="O28" s="5" t="s">
        <v>26</v>
      </c>
      <c r="P28" s="5" t="s">
        <v>58</v>
      </c>
      <c r="Q28" s="5" t="s">
        <v>35</v>
      </c>
      <c r="R28" s="5" t="s">
        <v>3</v>
      </c>
      <c r="S28" s="5" t="s">
        <v>43</v>
      </c>
      <c r="T28" s="1"/>
      <c r="U28" s="13">
        <v>1</v>
      </c>
      <c r="V28" s="13">
        <v>1</v>
      </c>
      <c r="W28" s="1"/>
      <c r="X28" s="1">
        <f t="shared" si="5"/>
        <v>0</v>
      </c>
      <c r="Y28" s="1">
        <f t="shared" si="6"/>
        <v>1</v>
      </c>
      <c r="Z28" s="1" t="b">
        <f t="shared" si="7"/>
        <v>0</v>
      </c>
      <c r="AA28" s="1" t="str">
        <f t="shared" si="8"/>
        <v>3</v>
      </c>
      <c r="AB28" s="1" t="str">
        <f t="shared" si="9"/>
        <v>Wrong</v>
      </c>
      <c r="AC28" s="1"/>
      <c r="AD28" s="1"/>
      <c r="AE28" s="1"/>
      <c r="AF28" s="1"/>
    </row>
    <row r="29" spans="1:32" x14ac:dyDescent="0.25">
      <c r="A29" s="2">
        <f t="shared" si="4"/>
        <v>25</v>
      </c>
      <c r="B29" s="5" t="s">
        <v>58</v>
      </c>
      <c r="C29" s="5" t="s">
        <v>2</v>
      </c>
      <c r="D29" s="5" t="s">
        <v>15</v>
      </c>
      <c r="E29" s="5" t="s">
        <v>13</v>
      </c>
      <c r="F29" s="5" t="s">
        <v>3</v>
      </c>
      <c r="I29" s="6">
        <v>3</v>
      </c>
      <c r="J29" s="6">
        <v>1</v>
      </c>
      <c r="K29" s="6">
        <v>3</v>
      </c>
      <c r="L29" s="6">
        <v>1</v>
      </c>
      <c r="M29" s="1" t="str">
        <f t="shared" si="0"/>
        <v/>
      </c>
      <c r="O29" s="5" t="s">
        <v>62</v>
      </c>
      <c r="P29" s="5" t="s">
        <v>32</v>
      </c>
      <c r="Q29" s="5" t="s">
        <v>37</v>
      </c>
      <c r="R29" s="5" t="s">
        <v>33</v>
      </c>
      <c r="S29" s="5" t="s">
        <v>54</v>
      </c>
      <c r="T29" s="1"/>
      <c r="U29" s="13">
        <v>1</v>
      </c>
      <c r="V29" s="13">
        <v>1</v>
      </c>
      <c r="W29" s="1"/>
      <c r="X29" s="1">
        <f t="shared" si="5"/>
        <v>0</v>
      </c>
      <c r="Y29" s="1">
        <f t="shared" si="6"/>
        <v>1</v>
      </c>
      <c r="Z29" s="1" t="b">
        <f t="shared" si="7"/>
        <v>0</v>
      </c>
      <c r="AA29" s="1" t="str">
        <f t="shared" si="8"/>
        <v>3</v>
      </c>
      <c r="AB29" s="1" t="str">
        <f t="shared" si="9"/>
        <v>Wrong</v>
      </c>
      <c r="AC29" s="1"/>
      <c r="AD29" s="1"/>
      <c r="AE29" s="1"/>
      <c r="AF29" s="1"/>
    </row>
    <row r="30" spans="1:32" x14ac:dyDescent="0.25">
      <c r="A30" s="2">
        <f t="shared" si="4"/>
        <v>26</v>
      </c>
      <c r="B30" s="5" t="s">
        <v>36</v>
      </c>
      <c r="C30" s="5" t="s">
        <v>10</v>
      </c>
      <c r="D30" s="5" t="s">
        <v>15</v>
      </c>
      <c r="E30" s="5" t="s">
        <v>14</v>
      </c>
      <c r="F30" s="5" t="s">
        <v>46</v>
      </c>
      <c r="I30" s="6">
        <v>3</v>
      </c>
      <c r="J30" s="6">
        <v>1</v>
      </c>
      <c r="K30" s="6">
        <v>3</v>
      </c>
      <c r="L30" s="6">
        <v>2</v>
      </c>
      <c r="M30" s="1" t="str">
        <f t="shared" si="0"/>
        <v/>
      </c>
      <c r="O30" s="5" t="s">
        <v>30</v>
      </c>
      <c r="P30" s="5" t="s">
        <v>44</v>
      </c>
      <c r="Q30" s="5" t="s">
        <v>61</v>
      </c>
      <c r="R30" s="5" t="s">
        <v>35</v>
      </c>
      <c r="S30" s="5" t="s">
        <v>49</v>
      </c>
      <c r="T30" s="1"/>
      <c r="U30" s="13">
        <v>1</v>
      </c>
      <c r="V30" s="13">
        <v>1</v>
      </c>
      <c r="W30" s="1"/>
      <c r="X30" s="1">
        <f t="shared" si="5"/>
        <v>0</v>
      </c>
      <c r="Y30" s="1">
        <f t="shared" si="6"/>
        <v>1</v>
      </c>
      <c r="Z30" s="1" t="b">
        <f t="shared" si="7"/>
        <v>0</v>
      </c>
      <c r="AA30" s="1" t="str">
        <f t="shared" si="8"/>
        <v>3</v>
      </c>
      <c r="AB30" s="1" t="str">
        <f t="shared" si="9"/>
        <v>Wrong</v>
      </c>
      <c r="AC30" s="1"/>
      <c r="AD30" s="1"/>
      <c r="AE30" s="1"/>
      <c r="AF30" s="1"/>
    </row>
    <row r="31" spans="1:32" x14ac:dyDescent="0.25">
      <c r="A31" s="2">
        <f t="shared" si="4"/>
        <v>27</v>
      </c>
      <c r="B31" s="5" t="s">
        <v>27</v>
      </c>
      <c r="C31" s="5" t="s">
        <v>52</v>
      </c>
      <c r="D31" s="5" t="s">
        <v>49</v>
      </c>
      <c r="E31" s="5" t="s">
        <v>55</v>
      </c>
      <c r="F31" s="5" t="s">
        <v>31</v>
      </c>
      <c r="I31" s="6">
        <v>3</v>
      </c>
      <c r="J31" s="6">
        <v>2</v>
      </c>
      <c r="K31" s="6">
        <v>1</v>
      </c>
      <c r="L31" s="6">
        <v>3</v>
      </c>
      <c r="M31" s="1" t="str">
        <f t="shared" si="0"/>
        <v/>
      </c>
      <c r="O31" s="5" t="s">
        <v>44</v>
      </c>
      <c r="P31" s="5" t="s">
        <v>51</v>
      </c>
      <c r="Q31" s="5" t="s">
        <v>47</v>
      </c>
      <c r="R31" s="5" t="s">
        <v>24</v>
      </c>
      <c r="S31" s="5" t="s">
        <v>37</v>
      </c>
      <c r="T31" s="1"/>
      <c r="U31" s="13">
        <v>1</v>
      </c>
      <c r="V31" s="13">
        <v>1</v>
      </c>
      <c r="W31" s="1"/>
      <c r="X31" s="1">
        <f t="shared" si="5"/>
        <v>0</v>
      </c>
      <c r="Y31" s="1">
        <f t="shared" si="6"/>
        <v>0</v>
      </c>
      <c r="Z31" s="1" t="b">
        <f t="shared" si="7"/>
        <v>0</v>
      </c>
      <c r="AA31" s="1" t="str">
        <f t="shared" si="8"/>
        <v>3</v>
      </c>
      <c r="AB31" s="1" t="str">
        <f t="shared" si="9"/>
        <v>Wrong</v>
      </c>
      <c r="AC31" s="1"/>
      <c r="AD31" s="1"/>
      <c r="AE31" s="1"/>
      <c r="AF31" s="1"/>
    </row>
    <row r="32" spans="1:32" x14ac:dyDescent="0.25">
      <c r="A32" s="2">
        <f t="shared" si="4"/>
        <v>28</v>
      </c>
      <c r="B32" s="5" t="s">
        <v>27</v>
      </c>
      <c r="C32" s="5" t="s">
        <v>59</v>
      </c>
      <c r="D32" s="5" t="s">
        <v>58</v>
      </c>
      <c r="E32" s="5" t="s">
        <v>29</v>
      </c>
      <c r="F32" s="5" t="s">
        <v>45</v>
      </c>
      <c r="I32" s="6">
        <v>2</v>
      </c>
      <c r="J32" s="6">
        <v>1</v>
      </c>
      <c r="K32" s="6">
        <v>2</v>
      </c>
      <c r="L32" s="6">
        <v>1</v>
      </c>
      <c r="M32" s="1" t="str">
        <f t="shared" si="0"/>
        <v/>
      </c>
      <c r="O32" s="5" t="s">
        <v>44</v>
      </c>
      <c r="P32" s="5" t="s">
        <v>48</v>
      </c>
      <c r="Q32" s="5" t="s">
        <v>30</v>
      </c>
      <c r="R32" s="5" t="s">
        <v>22</v>
      </c>
      <c r="S32" s="5" t="s">
        <v>14</v>
      </c>
      <c r="T32" s="1"/>
      <c r="U32" s="13">
        <v>1</v>
      </c>
      <c r="V32" s="13">
        <v>1</v>
      </c>
      <c r="W32" s="1"/>
      <c r="X32" s="1">
        <f t="shared" si="5"/>
        <v>0</v>
      </c>
      <c r="Y32" s="1">
        <f t="shared" si="6"/>
        <v>1</v>
      </c>
      <c r="Z32" s="1" t="b">
        <f t="shared" si="7"/>
        <v>0</v>
      </c>
      <c r="AA32" s="1" t="str">
        <f t="shared" si="8"/>
        <v>2</v>
      </c>
      <c r="AB32" s="1" t="str">
        <f t="shared" si="9"/>
        <v>Wrong</v>
      </c>
      <c r="AC32" s="1"/>
      <c r="AD32" s="1"/>
      <c r="AE32" s="1"/>
      <c r="AF32" s="1"/>
    </row>
    <row r="33" spans="1:32" x14ac:dyDescent="0.25">
      <c r="A33" s="2">
        <f t="shared" si="4"/>
        <v>29</v>
      </c>
      <c r="B33" s="5" t="s">
        <v>41</v>
      </c>
      <c r="C33" s="5" t="s">
        <v>54</v>
      </c>
      <c r="D33" s="5" t="s">
        <v>13</v>
      </c>
      <c r="E33" s="5" t="s">
        <v>51</v>
      </c>
      <c r="F33" s="5" t="s">
        <v>22</v>
      </c>
      <c r="I33" s="6">
        <v>2</v>
      </c>
      <c r="J33" s="6">
        <v>1</v>
      </c>
      <c r="K33" s="6">
        <v>2</v>
      </c>
      <c r="L33" s="6">
        <v>1</v>
      </c>
      <c r="M33" s="1" t="str">
        <f t="shared" si="0"/>
        <v/>
      </c>
      <c r="O33" s="5" t="s">
        <v>24</v>
      </c>
      <c r="P33" s="5" t="s">
        <v>15</v>
      </c>
      <c r="Q33" s="5" t="s">
        <v>61</v>
      </c>
      <c r="R33" s="5" t="s">
        <v>53</v>
      </c>
      <c r="S33" s="5" t="s">
        <v>35</v>
      </c>
      <c r="T33" s="1"/>
      <c r="U33" s="13">
        <v>1</v>
      </c>
      <c r="V33" s="13">
        <v>1</v>
      </c>
      <c r="W33" s="1"/>
      <c r="X33" s="1">
        <f t="shared" si="5"/>
        <v>0</v>
      </c>
      <c r="Y33" s="1">
        <f t="shared" si="6"/>
        <v>1</v>
      </c>
      <c r="Z33" s="1" t="b">
        <f t="shared" si="7"/>
        <v>0</v>
      </c>
      <c r="AA33" s="1" t="str">
        <f t="shared" si="8"/>
        <v>2</v>
      </c>
      <c r="AB33" s="1" t="str">
        <f t="shared" si="9"/>
        <v>Wrong</v>
      </c>
      <c r="AC33" s="1"/>
      <c r="AD33" s="1"/>
      <c r="AE33" s="1"/>
      <c r="AF33" s="1"/>
    </row>
    <row r="34" spans="1:32" x14ac:dyDescent="0.25">
      <c r="A34" s="2">
        <f t="shared" si="4"/>
        <v>30</v>
      </c>
      <c r="B34" s="5" t="s">
        <v>24</v>
      </c>
      <c r="C34" s="5" t="s">
        <v>34</v>
      </c>
      <c r="D34" s="5" t="s">
        <v>10</v>
      </c>
      <c r="E34" s="5" t="s">
        <v>3</v>
      </c>
      <c r="F34" s="5" t="s">
        <v>59</v>
      </c>
      <c r="I34" s="6">
        <v>2</v>
      </c>
      <c r="J34" s="6">
        <v>1</v>
      </c>
      <c r="K34" s="6">
        <v>2</v>
      </c>
      <c r="L34" s="6">
        <v>1</v>
      </c>
      <c r="M34" s="1" t="str">
        <f t="shared" si="0"/>
        <v/>
      </c>
      <c r="O34" s="5" t="s">
        <v>15</v>
      </c>
      <c r="P34" s="5" t="s">
        <v>2</v>
      </c>
      <c r="Q34" s="5" t="s">
        <v>54</v>
      </c>
      <c r="R34" s="5" t="s">
        <v>43</v>
      </c>
      <c r="S34" s="5" t="s">
        <v>60</v>
      </c>
      <c r="T34" s="1"/>
      <c r="U34" s="13">
        <v>1</v>
      </c>
      <c r="V34" s="13">
        <v>1</v>
      </c>
      <c r="W34" s="1"/>
      <c r="X34" s="1">
        <f t="shared" si="5"/>
        <v>0</v>
      </c>
      <c r="Y34" s="1">
        <f t="shared" si="6"/>
        <v>1</v>
      </c>
      <c r="Z34" s="1" t="b">
        <f t="shared" si="7"/>
        <v>0</v>
      </c>
      <c r="AA34" s="1" t="str">
        <f t="shared" si="8"/>
        <v>2</v>
      </c>
      <c r="AB34" s="1" t="str">
        <f t="shared" si="9"/>
        <v>Wrong</v>
      </c>
      <c r="AC34" s="1"/>
      <c r="AD34" s="1"/>
      <c r="AE34" s="1"/>
      <c r="AF34" s="1"/>
    </row>
    <row r="35" spans="1:32" x14ac:dyDescent="0.25">
      <c r="A35" s="2">
        <f t="shared" si="4"/>
        <v>31</v>
      </c>
      <c r="B35" s="5" t="s">
        <v>56</v>
      </c>
      <c r="C35" s="5" t="s">
        <v>51</v>
      </c>
      <c r="D35" s="5" t="s">
        <v>2</v>
      </c>
      <c r="E35" s="5" t="s">
        <v>35</v>
      </c>
      <c r="F35" s="5" t="s">
        <v>61</v>
      </c>
      <c r="I35" s="6">
        <v>2</v>
      </c>
      <c r="J35" s="6">
        <v>2</v>
      </c>
      <c r="K35" s="6">
        <v>1</v>
      </c>
      <c r="L35" s="6">
        <v>2</v>
      </c>
      <c r="M35" s="1" t="str">
        <f t="shared" si="0"/>
        <v/>
      </c>
      <c r="O35" s="5" t="s">
        <v>0</v>
      </c>
      <c r="P35" s="5" t="s">
        <v>23</v>
      </c>
      <c r="Q35" s="5" t="s">
        <v>58</v>
      </c>
      <c r="R35" s="5" t="s">
        <v>25</v>
      </c>
      <c r="S35" s="5" t="s">
        <v>39</v>
      </c>
      <c r="T35" s="1"/>
      <c r="U35" s="13">
        <v>1</v>
      </c>
      <c r="V35" s="13">
        <v>1</v>
      </c>
      <c r="W35" s="1"/>
      <c r="X35" s="1">
        <f t="shared" si="5"/>
        <v>0</v>
      </c>
      <c r="Y35" s="1">
        <f t="shared" si="6"/>
        <v>0</v>
      </c>
      <c r="Z35" s="1" t="b">
        <f t="shared" si="7"/>
        <v>0</v>
      </c>
      <c r="AA35" s="1" t="str">
        <f t="shared" si="8"/>
        <v>2</v>
      </c>
      <c r="AB35" s="1" t="str">
        <f t="shared" si="9"/>
        <v>Wrong</v>
      </c>
      <c r="AC35" s="1"/>
      <c r="AD35" s="1"/>
      <c r="AE35" s="1"/>
      <c r="AF35" s="1"/>
    </row>
    <row r="36" spans="1:32" x14ac:dyDescent="0.25">
      <c r="A36" s="2">
        <f t="shared" si="4"/>
        <v>32</v>
      </c>
      <c r="B36" s="5" t="s">
        <v>52</v>
      </c>
      <c r="C36" s="5" t="s">
        <v>13</v>
      </c>
      <c r="D36" s="5" t="s">
        <v>54</v>
      </c>
      <c r="E36" s="5" t="s">
        <v>43</v>
      </c>
      <c r="F36" s="5" t="s">
        <v>4</v>
      </c>
      <c r="I36" s="6">
        <v>2</v>
      </c>
      <c r="J36" s="6">
        <v>2</v>
      </c>
      <c r="K36" s="6">
        <v>1</v>
      </c>
      <c r="L36" s="6">
        <v>2</v>
      </c>
      <c r="M36" s="1" t="str">
        <f t="shared" si="0"/>
        <v/>
      </c>
      <c r="O36" s="5" t="s">
        <v>60</v>
      </c>
      <c r="P36" s="5" t="s">
        <v>41</v>
      </c>
      <c r="Q36" s="5" t="s">
        <v>46</v>
      </c>
      <c r="R36" s="5" t="s">
        <v>61</v>
      </c>
      <c r="S36" s="5" t="s">
        <v>1</v>
      </c>
      <c r="T36" s="1"/>
      <c r="U36" s="13">
        <v>1</v>
      </c>
      <c r="V36" s="13">
        <v>1</v>
      </c>
      <c r="W36" s="1"/>
      <c r="X36" s="1">
        <f t="shared" si="5"/>
        <v>0</v>
      </c>
      <c r="Y36" s="1">
        <f t="shared" si="6"/>
        <v>0</v>
      </c>
      <c r="Z36" s="1" t="b">
        <f t="shared" si="7"/>
        <v>0</v>
      </c>
      <c r="AA36" s="1" t="str">
        <f t="shared" si="8"/>
        <v>2</v>
      </c>
      <c r="AB36" s="1" t="str">
        <f t="shared" si="9"/>
        <v>Wrong</v>
      </c>
      <c r="AC36" s="1"/>
      <c r="AD36" s="1"/>
      <c r="AE36" s="1"/>
      <c r="AF36" s="1"/>
    </row>
    <row r="37" spans="1:32" x14ac:dyDescent="0.25">
      <c r="A37" s="2">
        <f t="shared" si="4"/>
        <v>33</v>
      </c>
      <c r="B37" s="5" t="s">
        <v>44</v>
      </c>
      <c r="C37" s="5" t="s">
        <v>52</v>
      </c>
      <c r="D37" s="5" t="s">
        <v>56</v>
      </c>
      <c r="E37" s="5" t="s">
        <v>38</v>
      </c>
      <c r="F37" s="5" t="s">
        <v>10</v>
      </c>
      <c r="I37" s="6">
        <v>9</v>
      </c>
      <c r="J37" s="6">
        <v>2</v>
      </c>
      <c r="K37" s="6">
        <v>9</v>
      </c>
      <c r="L37" s="6">
        <v>9</v>
      </c>
      <c r="M37" s="1" t="str">
        <f t="shared" si="0"/>
        <v>Tie</v>
      </c>
      <c r="O37" s="5" t="s">
        <v>50</v>
      </c>
      <c r="P37" s="5" t="s">
        <v>28</v>
      </c>
      <c r="Q37" s="5" t="s">
        <v>62</v>
      </c>
      <c r="R37" s="5" t="s">
        <v>3</v>
      </c>
      <c r="S37" s="5" t="s">
        <v>2</v>
      </c>
      <c r="T37" s="1"/>
      <c r="U37" s="13">
        <v>1</v>
      </c>
      <c r="V37" s="13">
        <v>1</v>
      </c>
      <c r="W37" s="1"/>
      <c r="X37" s="1">
        <f t="shared" si="5"/>
        <v>0</v>
      </c>
      <c r="Y37" s="1">
        <f t="shared" si="6"/>
        <v>0</v>
      </c>
      <c r="Z37" s="1" t="b">
        <f t="shared" si="7"/>
        <v>0</v>
      </c>
      <c r="AA37" s="1" t="str">
        <f t="shared" si="8"/>
        <v>9Tie</v>
      </c>
      <c r="AB37" s="1" t="str">
        <f t="shared" si="9"/>
        <v>Wrong</v>
      </c>
      <c r="AC37" s="1"/>
      <c r="AD37" s="1"/>
      <c r="AE37" s="1"/>
      <c r="AF37" s="1"/>
    </row>
    <row r="38" spans="1:32" x14ac:dyDescent="0.25">
      <c r="A38" s="2">
        <f t="shared" si="4"/>
        <v>34</v>
      </c>
      <c r="B38" s="5" t="s">
        <v>58</v>
      </c>
      <c r="C38" s="5" t="s">
        <v>59</v>
      </c>
      <c r="D38" s="5" t="s">
        <v>54</v>
      </c>
      <c r="E38" s="5" t="s">
        <v>55</v>
      </c>
      <c r="F38" s="5" t="s">
        <v>27</v>
      </c>
      <c r="I38" s="6">
        <v>9</v>
      </c>
      <c r="J38" s="6">
        <v>2</v>
      </c>
      <c r="K38" s="6">
        <v>9</v>
      </c>
      <c r="L38" s="6">
        <v>9</v>
      </c>
      <c r="M38" s="1" t="str">
        <f t="shared" si="0"/>
        <v>Tie</v>
      </c>
      <c r="O38" s="5" t="s">
        <v>31</v>
      </c>
      <c r="P38" s="5" t="s">
        <v>4</v>
      </c>
      <c r="Q38" s="5" t="s">
        <v>49</v>
      </c>
      <c r="R38" s="5" t="s">
        <v>12</v>
      </c>
      <c r="S38" s="5" t="s">
        <v>39</v>
      </c>
      <c r="T38" s="1"/>
      <c r="U38" s="13">
        <v>1</v>
      </c>
      <c r="V38" s="13">
        <v>1</v>
      </c>
      <c r="W38" s="1"/>
      <c r="X38" s="1">
        <f t="shared" si="5"/>
        <v>0</v>
      </c>
      <c r="Y38" s="1">
        <f t="shared" si="6"/>
        <v>0</v>
      </c>
      <c r="Z38" s="1" t="b">
        <f t="shared" si="7"/>
        <v>0</v>
      </c>
      <c r="AA38" s="1" t="str">
        <f t="shared" si="8"/>
        <v>9Tie</v>
      </c>
      <c r="AB38" s="1" t="str">
        <f t="shared" si="9"/>
        <v>Wrong</v>
      </c>
      <c r="AC38" s="1"/>
      <c r="AD38" s="1"/>
      <c r="AE38" s="1"/>
      <c r="AF38" s="1"/>
    </row>
    <row r="39" spans="1:32" x14ac:dyDescent="0.25">
      <c r="A39" s="2">
        <f t="shared" si="4"/>
        <v>35</v>
      </c>
      <c r="B39" s="5" t="s">
        <v>46</v>
      </c>
      <c r="C39" s="5" t="s">
        <v>62</v>
      </c>
      <c r="D39" s="5" t="s">
        <v>48</v>
      </c>
      <c r="E39" s="5" t="s">
        <v>56</v>
      </c>
      <c r="F39" s="5" t="s">
        <v>41</v>
      </c>
      <c r="I39" s="6">
        <v>8</v>
      </c>
      <c r="J39" s="6">
        <v>2</v>
      </c>
      <c r="K39" s="6">
        <v>8</v>
      </c>
      <c r="L39" s="6">
        <v>8</v>
      </c>
      <c r="M39" s="1" t="str">
        <f t="shared" si="0"/>
        <v>Tie</v>
      </c>
      <c r="O39" s="5" t="s">
        <v>31</v>
      </c>
      <c r="P39" s="5" t="s">
        <v>34</v>
      </c>
      <c r="Q39" s="5" t="s">
        <v>35</v>
      </c>
      <c r="R39" s="5" t="s">
        <v>43</v>
      </c>
      <c r="S39" s="5" t="s">
        <v>38</v>
      </c>
      <c r="T39" s="1"/>
      <c r="U39" s="13">
        <v>1</v>
      </c>
      <c r="V39" s="13">
        <v>1</v>
      </c>
      <c r="W39" s="1"/>
      <c r="X39" s="1">
        <f t="shared" si="5"/>
        <v>0</v>
      </c>
      <c r="Y39" s="1">
        <f t="shared" si="6"/>
        <v>0</v>
      </c>
      <c r="Z39" s="1" t="b">
        <f t="shared" si="7"/>
        <v>0</v>
      </c>
      <c r="AA39" s="1" t="str">
        <f t="shared" si="8"/>
        <v>8Tie</v>
      </c>
      <c r="AB39" s="1" t="str">
        <f t="shared" si="9"/>
        <v>Wrong</v>
      </c>
      <c r="AC39" s="1"/>
      <c r="AD39" s="1"/>
      <c r="AE39" s="1"/>
      <c r="AF39" s="1"/>
    </row>
    <row r="40" spans="1:32" x14ac:dyDescent="0.25">
      <c r="A40" s="2">
        <f t="shared" si="4"/>
        <v>36</v>
      </c>
      <c r="B40" s="5" t="s">
        <v>12</v>
      </c>
      <c r="C40" s="5" t="s">
        <v>44</v>
      </c>
      <c r="D40" s="5" t="s">
        <v>14</v>
      </c>
      <c r="E40" s="5" t="s">
        <v>15</v>
      </c>
      <c r="F40" s="5" t="s">
        <v>13</v>
      </c>
      <c r="I40" s="6">
        <v>8</v>
      </c>
      <c r="J40" s="6">
        <v>2</v>
      </c>
      <c r="K40" s="6">
        <v>8</v>
      </c>
      <c r="L40" s="6">
        <v>8</v>
      </c>
      <c r="M40" s="1" t="str">
        <f t="shared" si="0"/>
        <v>Tie</v>
      </c>
      <c r="O40" s="5" t="s">
        <v>46</v>
      </c>
      <c r="P40" s="5" t="s">
        <v>21</v>
      </c>
      <c r="Q40" s="5" t="s">
        <v>36</v>
      </c>
      <c r="R40" s="5" t="s">
        <v>38</v>
      </c>
      <c r="S40" s="5" t="s">
        <v>48</v>
      </c>
      <c r="T40" s="1"/>
      <c r="U40" s="13">
        <v>1</v>
      </c>
      <c r="V40" s="13">
        <v>1</v>
      </c>
      <c r="W40" s="1"/>
      <c r="X40" s="1">
        <f t="shared" si="5"/>
        <v>0</v>
      </c>
      <c r="Y40" s="1">
        <f t="shared" si="6"/>
        <v>0</v>
      </c>
      <c r="Z40" s="1" t="b">
        <f t="shared" si="7"/>
        <v>0</v>
      </c>
      <c r="AA40" s="1" t="str">
        <f t="shared" si="8"/>
        <v>8Tie</v>
      </c>
      <c r="AB40" s="1" t="str">
        <f t="shared" si="9"/>
        <v>Wrong</v>
      </c>
      <c r="AC40" s="1"/>
      <c r="AD40" s="1"/>
      <c r="AE40" s="1"/>
      <c r="AF40" s="1"/>
    </row>
    <row r="41" spans="1:32" x14ac:dyDescent="0.25">
      <c r="A41" s="2">
        <f t="shared" si="4"/>
        <v>37</v>
      </c>
      <c r="B41" s="5" t="s">
        <v>44</v>
      </c>
      <c r="C41" s="5" t="s">
        <v>50</v>
      </c>
      <c r="D41" s="5" t="s">
        <v>56</v>
      </c>
      <c r="E41" s="5" t="s">
        <v>62</v>
      </c>
      <c r="F41" s="5" t="s">
        <v>48</v>
      </c>
      <c r="I41" s="6">
        <v>7</v>
      </c>
      <c r="J41" s="6">
        <v>2</v>
      </c>
      <c r="K41" s="6">
        <v>7</v>
      </c>
      <c r="L41" s="6">
        <v>7</v>
      </c>
      <c r="M41" s="1" t="str">
        <f t="shared" si="0"/>
        <v>Tie</v>
      </c>
      <c r="O41" s="5" t="s">
        <v>37</v>
      </c>
      <c r="P41" s="5" t="s">
        <v>57</v>
      </c>
      <c r="Q41" s="5" t="s">
        <v>52</v>
      </c>
      <c r="R41" s="5" t="s">
        <v>28</v>
      </c>
      <c r="S41" s="5" t="s">
        <v>42</v>
      </c>
      <c r="T41" s="1"/>
      <c r="U41" s="13">
        <v>1</v>
      </c>
      <c r="V41" s="13">
        <v>1</v>
      </c>
      <c r="W41" s="1"/>
      <c r="X41" s="1">
        <f t="shared" si="5"/>
        <v>0</v>
      </c>
      <c r="Y41" s="1">
        <f t="shared" si="6"/>
        <v>0</v>
      </c>
      <c r="Z41" s="1" t="b">
        <f t="shared" si="7"/>
        <v>0</v>
      </c>
      <c r="AA41" s="1" t="str">
        <f t="shared" si="8"/>
        <v>7Tie</v>
      </c>
      <c r="AB41" s="1" t="str">
        <f t="shared" si="9"/>
        <v>Wrong</v>
      </c>
      <c r="AC41" s="1"/>
      <c r="AD41" s="1"/>
      <c r="AE41" s="1"/>
      <c r="AF41" s="1"/>
    </row>
    <row r="42" spans="1:32" x14ac:dyDescent="0.25">
      <c r="A42" s="2">
        <f t="shared" si="4"/>
        <v>38</v>
      </c>
      <c r="B42" s="5" t="s">
        <v>38</v>
      </c>
      <c r="C42" s="5" t="s">
        <v>36</v>
      </c>
      <c r="D42" s="5" t="s">
        <v>56</v>
      </c>
      <c r="E42" s="5" t="s">
        <v>62</v>
      </c>
      <c r="F42" s="5" t="s">
        <v>48</v>
      </c>
      <c r="I42" s="6">
        <v>7</v>
      </c>
      <c r="J42" s="6">
        <v>1</v>
      </c>
      <c r="K42" s="6">
        <v>7</v>
      </c>
      <c r="L42" s="6">
        <v>7</v>
      </c>
      <c r="M42" s="1" t="str">
        <f t="shared" si="0"/>
        <v>Tie</v>
      </c>
      <c r="O42" s="5" t="s">
        <v>37</v>
      </c>
      <c r="P42" s="5" t="s">
        <v>57</v>
      </c>
      <c r="Q42" s="5" t="s">
        <v>50</v>
      </c>
      <c r="R42" s="5" t="s">
        <v>46</v>
      </c>
      <c r="S42" s="5" t="s">
        <v>21</v>
      </c>
      <c r="T42" s="1"/>
      <c r="U42" s="13">
        <v>1</v>
      </c>
      <c r="V42" s="13">
        <v>1</v>
      </c>
      <c r="W42" s="1"/>
      <c r="X42" s="1">
        <f t="shared" si="5"/>
        <v>0</v>
      </c>
      <c r="Y42" s="1">
        <f t="shared" si="6"/>
        <v>1</v>
      </c>
      <c r="Z42" s="1" t="b">
        <f t="shared" si="7"/>
        <v>0</v>
      </c>
      <c r="AA42" s="1" t="str">
        <f t="shared" si="8"/>
        <v>7Tie</v>
      </c>
      <c r="AB42" s="1" t="str">
        <f t="shared" si="9"/>
        <v>Wrong</v>
      </c>
      <c r="AC42" s="1"/>
      <c r="AD42" s="1"/>
      <c r="AE42" s="1"/>
      <c r="AF42" s="1"/>
    </row>
    <row r="43" spans="1:32" x14ac:dyDescent="0.25">
      <c r="A43" s="2">
        <f t="shared" si="4"/>
        <v>39</v>
      </c>
      <c r="B43" s="5" t="s">
        <v>58</v>
      </c>
      <c r="C43" s="5" t="s">
        <v>54</v>
      </c>
      <c r="D43" s="5" t="s">
        <v>49</v>
      </c>
      <c r="E43" s="5" t="s">
        <v>41</v>
      </c>
      <c r="F43" s="5" t="s">
        <v>31</v>
      </c>
      <c r="I43" s="6">
        <v>6</v>
      </c>
      <c r="J43" s="6">
        <v>2</v>
      </c>
      <c r="K43" s="6">
        <v>6</v>
      </c>
      <c r="L43" s="6">
        <v>6</v>
      </c>
      <c r="M43" s="1" t="str">
        <f t="shared" si="0"/>
        <v>Tie</v>
      </c>
      <c r="O43" s="5" t="s">
        <v>10</v>
      </c>
      <c r="P43" s="5" t="s">
        <v>56</v>
      </c>
      <c r="Q43" s="5" t="s">
        <v>44</v>
      </c>
      <c r="R43" s="5" t="s">
        <v>52</v>
      </c>
      <c r="S43" s="5" t="s">
        <v>13</v>
      </c>
      <c r="T43" s="1"/>
      <c r="U43" s="13">
        <v>1</v>
      </c>
      <c r="V43" s="13">
        <v>1</v>
      </c>
      <c r="W43" s="1"/>
      <c r="X43" s="1">
        <f t="shared" si="5"/>
        <v>0</v>
      </c>
      <c r="Y43" s="1">
        <f t="shared" si="6"/>
        <v>0</v>
      </c>
      <c r="Z43" s="1" t="b">
        <f t="shared" si="7"/>
        <v>0</v>
      </c>
      <c r="AA43" s="1" t="str">
        <f t="shared" si="8"/>
        <v>6Tie</v>
      </c>
      <c r="AB43" s="1" t="str">
        <f t="shared" si="9"/>
        <v>Wrong</v>
      </c>
      <c r="AC43" s="1"/>
    </row>
    <row r="44" spans="1:32" x14ac:dyDescent="0.25">
      <c r="A44" s="2">
        <f t="shared" si="4"/>
        <v>40</v>
      </c>
      <c r="B44" s="5" t="s">
        <v>46</v>
      </c>
      <c r="C44" s="5" t="s">
        <v>54</v>
      </c>
      <c r="D44" s="5" t="s">
        <v>49</v>
      </c>
      <c r="E44" s="5" t="s">
        <v>41</v>
      </c>
      <c r="F44" s="5" t="s">
        <v>31</v>
      </c>
      <c r="I44" s="6">
        <v>6</v>
      </c>
      <c r="J44" s="6">
        <v>1</v>
      </c>
      <c r="K44" s="6">
        <v>6</v>
      </c>
      <c r="L44" s="6">
        <v>6</v>
      </c>
      <c r="M44" s="1" t="str">
        <f t="shared" si="0"/>
        <v>Tie</v>
      </c>
      <c r="O44" s="5" t="s">
        <v>59</v>
      </c>
      <c r="P44" s="5" t="s">
        <v>58</v>
      </c>
      <c r="Q44" s="5" t="s">
        <v>55</v>
      </c>
      <c r="R44" s="5" t="s">
        <v>27</v>
      </c>
      <c r="S44" s="5" t="s">
        <v>4</v>
      </c>
      <c r="T44" s="1"/>
      <c r="U44" s="13">
        <v>1</v>
      </c>
      <c r="V44" s="13">
        <v>1</v>
      </c>
      <c r="W44" s="1"/>
      <c r="X44" s="1">
        <f t="shared" si="5"/>
        <v>0</v>
      </c>
      <c r="Y44" s="1">
        <f t="shared" si="6"/>
        <v>1</v>
      </c>
      <c r="Z44" s="1" t="b">
        <f t="shared" si="7"/>
        <v>0</v>
      </c>
      <c r="AA44" s="1" t="str">
        <f t="shared" si="8"/>
        <v>6Tie</v>
      </c>
      <c r="AB44" s="1" t="str">
        <f t="shared" si="9"/>
        <v>Wrong</v>
      </c>
      <c r="AC44" s="1"/>
    </row>
    <row r="45" spans="1:32" x14ac:dyDescent="0.25">
      <c r="A45" s="2">
        <f t="shared" si="4"/>
        <v>41</v>
      </c>
      <c r="B45" s="5" t="s">
        <v>44</v>
      </c>
      <c r="C45" s="5" t="s">
        <v>62</v>
      </c>
      <c r="D45" s="5" t="s">
        <v>59</v>
      </c>
      <c r="E45" s="5" t="s">
        <v>58</v>
      </c>
      <c r="F45" s="5" t="s">
        <v>54</v>
      </c>
      <c r="I45" s="6">
        <v>5</v>
      </c>
      <c r="J45" s="6">
        <v>1</v>
      </c>
      <c r="K45" s="6">
        <v>5</v>
      </c>
      <c r="L45" s="6">
        <v>5</v>
      </c>
      <c r="M45" s="1" t="str">
        <f t="shared" si="0"/>
        <v>Tie</v>
      </c>
      <c r="O45" s="5" t="s">
        <v>50</v>
      </c>
      <c r="P45" s="5" t="s">
        <v>41</v>
      </c>
      <c r="Q45" s="5" t="s">
        <v>52</v>
      </c>
      <c r="R45" s="5" t="s">
        <v>38</v>
      </c>
      <c r="S45" s="5" t="s">
        <v>10</v>
      </c>
      <c r="T45" s="1"/>
      <c r="U45" s="13">
        <v>1</v>
      </c>
      <c r="V45" s="13">
        <v>1</v>
      </c>
      <c r="W45" s="1"/>
      <c r="X45" s="1">
        <f t="shared" si="5"/>
        <v>0</v>
      </c>
      <c r="Y45" s="1">
        <f t="shared" si="6"/>
        <v>1</v>
      </c>
      <c r="Z45" s="1" t="b">
        <f t="shared" si="7"/>
        <v>0</v>
      </c>
      <c r="AA45" s="1" t="str">
        <f t="shared" si="8"/>
        <v>5Tie</v>
      </c>
      <c r="AB45" s="1" t="str">
        <f t="shared" si="9"/>
        <v>Wrong</v>
      </c>
      <c r="AC45" s="7"/>
    </row>
    <row r="46" spans="1:32" x14ac:dyDescent="0.25">
      <c r="A46" s="2">
        <f t="shared" si="4"/>
        <v>42</v>
      </c>
      <c r="B46" s="5" t="s">
        <v>44</v>
      </c>
      <c r="C46" s="5" t="s">
        <v>62</v>
      </c>
      <c r="D46" s="5" t="s">
        <v>59</v>
      </c>
      <c r="E46" s="5" t="s">
        <v>58</v>
      </c>
      <c r="F46" s="5" t="s">
        <v>54</v>
      </c>
      <c r="I46" s="6">
        <v>5</v>
      </c>
      <c r="J46" s="6">
        <v>1</v>
      </c>
      <c r="K46" s="6">
        <v>5</v>
      </c>
      <c r="L46" s="6">
        <v>5</v>
      </c>
      <c r="M46" s="1" t="str">
        <f t="shared" si="0"/>
        <v>Tie</v>
      </c>
      <c r="O46" s="5" t="s">
        <v>57</v>
      </c>
      <c r="P46" s="5" t="s">
        <v>48</v>
      </c>
      <c r="Q46" s="5" t="s">
        <v>28</v>
      </c>
      <c r="R46" s="5" t="s">
        <v>36</v>
      </c>
      <c r="S46" s="5" t="s">
        <v>10</v>
      </c>
      <c r="T46" s="1"/>
      <c r="U46" s="13">
        <v>1</v>
      </c>
      <c r="V46" s="13">
        <v>1</v>
      </c>
      <c r="W46" s="1"/>
      <c r="X46" s="1">
        <f t="shared" si="5"/>
        <v>0</v>
      </c>
      <c r="Y46" s="1">
        <f t="shared" si="6"/>
        <v>1</v>
      </c>
      <c r="Z46" s="1" t="b">
        <f t="shared" si="7"/>
        <v>0</v>
      </c>
      <c r="AA46" s="1" t="str">
        <f t="shared" si="8"/>
        <v>5Tie</v>
      </c>
      <c r="AB46" s="1" t="str">
        <f t="shared" si="9"/>
        <v>Wrong</v>
      </c>
      <c r="AC46" s="7"/>
    </row>
    <row r="47" spans="1:32" x14ac:dyDescent="0.25">
      <c r="A47" s="2">
        <f t="shared" si="4"/>
        <v>43</v>
      </c>
      <c r="B47" s="5" t="s">
        <v>55</v>
      </c>
      <c r="C47" s="5" t="s">
        <v>40</v>
      </c>
      <c r="D47" s="5" t="s">
        <v>30</v>
      </c>
      <c r="E47" s="5" t="s">
        <v>39</v>
      </c>
      <c r="F47" s="5" t="s">
        <v>0</v>
      </c>
      <c r="I47" s="6">
        <v>4</v>
      </c>
      <c r="J47" s="6">
        <v>1</v>
      </c>
      <c r="K47" s="6">
        <v>4</v>
      </c>
      <c r="L47" s="6">
        <v>4</v>
      </c>
      <c r="M47" s="1" t="str">
        <f t="shared" si="0"/>
        <v>Tie</v>
      </c>
      <c r="O47" s="5" t="s">
        <v>56</v>
      </c>
      <c r="P47" s="5" t="s">
        <v>10</v>
      </c>
      <c r="Q47" s="5" t="s">
        <v>32</v>
      </c>
      <c r="R47" s="5" t="s">
        <v>57</v>
      </c>
      <c r="S47" s="5" t="s">
        <v>58</v>
      </c>
      <c r="T47" s="1"/>
      <c r="U47" s="13">
        <v>1</v>
      </c>
      <c r="V47" s="13">
        <v>1</v>
      </c>
      <c r="W47" s="1"/>
      <c r="X47" s="1">
        <f t="shared" si="5"/>
        <v>0</v>
      </c>
      <c r="Y47" s="1">
        <f t="shared" si="6"/>
        <v>1</v>
      </c>
      <c r="Z47" s="1" t="b">
        <f t="shared" si="7"/>
        <v>0</v>
      </c>
      <c r="AA47" s="1" t="str">
        <f t="shared" si="8"/>
        <v>4Tie</v>
      </c>
      <c r="AB47" s="1" t="str">
        <f t="shared" si="9"/>
        <v>Wrong</v>
      </c>
      <c r="AC47" s="7"/>
    </row>
    <row r="48" spans="1:32" x14ac:dyDescent="0.25">
      <c r="A48" s="2">
        <f t="shared" si="4"/>
        <v>44</v>
      </c>
      <c r="B48" s="5" t="s">
        <v>2</v>
      </c>
      <c r="C48" s="5" t="s">
        <v>46</v>
      </c>
      <c r="D48" s="5" t="s">
        <v>51</v>
      </c>
      <c r="E48" s="5" t="s">
        <v>36</v>
      </c>
      <c r="F48" s="5" t="s">
        <v>58</v>
      </c>
      <c r="I48" s="6">
        <v>3</v>
      </c>
      <c r="J48" s="6">
        <v>1</v>
      </c>
      <c r="K48" s="6">
        <v>3</v>
      </c>
      <c r="L48" s="6">
        <v>3</v>
      </c>
      <c r="M48" s="1" t="str">
        <f t="shared" si="0"/>
        <v>Tie</v>
      </c>
      <c r="O48" s="5" t="s">
        <v>57</v>
      </c>
      <c r="P48" s="5" t="s">
        <v>48</v>
      </c>
      <c r="Q48" s="5" t="s">
        <v>56</v>
      </c>
      <c r="R48" s="5" t="s">
        <v>37</v>
      </c>
      <c r="S48" s="5" t="s">
        <v>45</v>
      </c>
      <c r="T48" s="1"/>
      <c r="U48" s="13">
        <v>1</v>
      </c>
      <c r="V48" s="13">
        <v>1</v>
      </c>
      <c r="W48" s="1"/>
      <c r="X48" s="1">
        <f t="shared" si="5"/>
        <v>0</v>
      </c>
      <c r="Y48" s="1">
        <f t="shared" si="6"/>
        <v>1</v>
      </c>
      <c r="Z48" s="1" t="b">
        <f t="shared" si="7"/>
        <v>0</v>
      </c>
      <c r="AA48" s="1" t="str">
        <f t="shared" si="8"/>
        <v>3Tie</v>
      </c>
      <c r="AB48" s="1" t="str">
        <f t="shared" si="9"/>
        <v>Wrong</v>
      </c>
      <c r="AC48" s="7"/>
    </row>
    <row r="49" spans="1:29" x14ac:dyDescent="0.25">
      <c r="A49" s="2">
        <f t="shared" si="4"/>
        <v>45</v>
      </c>
      <c r="B49" s="5" t="s">
        <v>60</v>
      </c>
      <c r="C49" s="5" t="s">
        <v>29</v>
      </c>
      <c r="D49" s="5" t="s">
        <v>26</v>
      </c>
      <c r="E49" s="5" t="s">
        <v>10</v>
      </c>
      <c r="F49" s="5" t="s">
        <v>32</v>
      </c>
      <c r="I49" s="6">
        <v>3</v>
      </c>
      <c r="J49" s="6">
        <v>2</v>
      </c>
      <c r="K49" s="6">
        <v>3</v>
      </c>
      <c r="L49" s="6">
        <v>3</v>
      </c>
      <c r="M49" s="1" t="str">
        <f t="shared" si="0"/>
        <v>Tie</v>
      </c>
      <c r="O49" s="5" t="s">
        <v>27</v>
      </c>
      <c r="P49" s="5" t="s">
        <v>25</v>
      </c>
      <c r="Q49" s="5" t="s">
        <v>58</v>
      </c>
      <c r="R49" s="5" t="s">
        <v>2</v>
      </c>
      <c r="S49" s="5" t="s">
        <v>43</v>
      </c>
      <c r="T49" s="7"/>
      <c r="U49" s="13">
        <v>1</v>
      </c>
      <c r="V49" s="13">
        <v>1</v>
      </c>
      <c r="W49" s="7"/>
      <c r="X49" s="1">
        <f t="shared" si="5"/>
        <v>0</v>
      </c>
      <c r="Y49" s="1">
        <f t="shared" si="6"/>
        <v>0</v>
      </c>
      <c r="Z49" s="1" t="b">
        <f t="shared" si="7"/>
        <v>0</v>
      </c>
      <c r="AA49" s="1" t="str">
        <f t="shared" si="8"/>
        <v>3Tie</v>
      </c>
      <c r="AB49" s="1" t="str">
        <f t="shared" si="9"/>
        <v>Wrong</v>
      </c>
      <c r="AC49" s="7"/>
    </row>
    <row r="50" spans="1:29" x14ac:dyDescent="0.25">
      <c r="A50" s="2">
        <f t="shared" si="4"/>
        <v>46</v>
      </c>
      <c r="B50" s="5" t="s">
        <v>62</v>
      </c>
      <c r="C50" s="5" t="s">
        <v>56</v>
      </c>
      <c r="D50" s="5" t="s">
        <v>50</v>
      </c>
      <c r="E50" s="5" t="s">
        <v>44</v>
      </c>
      <c r="F50" s="5" t="s">
        <v>58</v>
      </c>
      <c r="I50" s="6">
        <v>3</v>
      </c>
      <c r="J50" s="6">
        <v>2</v>
      </c>
      <c r="K50" s="6">
        <v>3</v>
      </c>
      <c r="L50" s="6">
        <v>3</v>
      </c>
      <c r="M50" s="1" t="str">
        <f t="shared" si="0"/>
        <v>Tie</v>
      </c>
      <c r="O50" s="5" t="s">
        <v>48</v>
      </c>
      <c r="P50" s="5" t="s">
        <v>41</v>
      </c>
      <c r="Q50" s="5" t="s">
        <v>37</v>
      </c>
      <c r="R50" s="5" t="s">
        <v>57</v>
      </c>
      <c r="S50" s="5" t="s">
        <v>26</v>
      </c>
      <c r="T50" s="7"/>
      <c r="U50" s="13">
        <v>1</v>
      </c>
      <c r="V50" s="13">
        <v>1</v>
      </c>
      <c r="W50" s="7"/>
      <c r="X50" s="1">
        <f t="shared" si="5"/>
        <v>0</v>
      </c>
      <c r="Y50" s="1">
        <f t="shared" si="6"/>
        <v>0</v>
      </c>
      <c r="Z50" s="1" t="b">
        <f t="shared" si="7"/>
        <v>0</v>
      </c>
      <c r="AA50" s="1" t="str">
        <f t="shared" si="8"/>
        <v>3Tie</v>
      </c>
      <c r="AB50" s="1" t="str">
        <f t="shared" si="9"/>
        <v>Wrong</v>
      </c>
      <c r="AC50" s="7"/>
    </row>
    <row r="51" spans="1:29" x14ac:dyDescent="0.25">
      <c r="A51" s="2">
        <f t="shared" si="4"/>
        <v>47</v>
      </c>
      <c r="B51" s="5" t="s">
        <v>50</v>
      </c>
      <c r="C51" s="5" t="s">
        <v>44</v>
      </c>
      <c r="D51" s="5" t="s">
        <v>3</v>
      </c>
      <c r="E51" s="5" t="s">
        <v>47</v>
      </c>
      <c r="F51" s="5" t="s">
        <v>41</v>
      </c>
      <c r="I51" s="6">
        <v>3</v>
      </c>
      <c r="J51" s="6">
        <v>2</v>
      </c>
      <c r="K51" s="6">
        <v>3</v>
      </c>
      <c r="L51" s="6">
        <v>3</v>
      </c>
      <c r="M51" s="1" t="str">
        <f t="shared" si="0"/>
        <v>Tie</v>
      </c>
      <c r="O51" s="5" t="s">
        <v>37</v>
      </c>
      <c r="P51" s="5" t="s">
        <v>57</v>
      </c>
      <c r="Q51" s="5" t="s">
        <v>24</v>
      </c>
      <c r="R51" s="5" t="s">
        <v>54</v>
      </c>
      <c r="S51" s="5" t="s">
        <v>46</v>
      </c>
      <c r="T51" s="7"/>
      <c r="U51" s="13">
        <v>1</v>
      </c>
      <c r="V51" s="13">
        <v>1</v>
      </c>
      <c r="W51" s="7"/>
      <c r="X51" s="1">
        <f t="shared" si="5"/>
        <v>0</v>
      </c>
      <c r="Y51" s="1">
        <f t="shared" si="6"/>
        <v>0</v>
      </c>
      <c r="Z51" s="1" t="b">
        <f t="shared" si="7"/>
        <v>0</v>
      </c>
      <c r="AA51" s="1" t="str">
        <f t="shared" si="8"/>
        <v>3Tie</v>
      </c>
      <c r="AB51" s="1" t="str">
        <f t="shared" si="9"/>
        <v>Wrong</v>
      </c>
      <c r="AC51" s="7"/>
    </row>
    <row r="52" spans="1:29" x14ac:dyDescent="0.25">
      <c r="A52" s="2">
        <f t="shared" si="4"/>
        <v>48</v>
      </c>
      <c r="B52" s="5" t="s">
        <v>29</v>
      </c>
      <c r="C52" s="5" t="s">
        <v>53</v>
      </c>
      <c r="D52" s="5" t="s">
        <v>55</v>
      </c>
      <c r="E52" s="5" t="s">
        <v>27</v>
      </c>
      <c r="F52" s="5" t="s">
        <v>39</v>
      </c>
      <c r="I52" s="6">
        <v>2</v>
      </c>
      <c r="J52" s="6">
        <v>2</v>
      </c>
      <c r="K52" s="6">
        <v>2</v>
      </c>
      <c r="L52" s="6">
        <v>2</v>
      </c>
      <c r="M52" s="1" t="str">
        <f t="shared" si="0"/>
        <v>Tie</v>
      </c>
      <c r="O52" s="5" t="s">
        <v>40</v>
      </c>
      <c r="P52" s="5" t="s">
        <v>35</v>
      </c>
      <c r="Q52" s="5" t="s">
        <v>30</v>
      </c>
      <c r="R52" s="5" t="s">
        <v>37</v>
      </c>
      <c r="S52" s="5" t="s">
        <v>0</v>
      </c>
      <c r="T52" s="7"/>
      <c r="U52" s="13">
        <v>1</v>
      </c>
      <c r="V52" s="13">
        <v>1</v>
      </c>
      <c r="W52" s="7"/>
      <c r="X52" s="1">
        <f t="shared" si="5"/>
        <v>0</v>
      </c>
      <c r="Y52" s="1">
        <f t="shared" si="6"/>
        <v>0</v>
      </c>
      <c r="Z52" s="1" t="b">
        <f t="shared" si="7"/>
        <v>0</v>
      </c>
      <c r="AA52" s="1" t="str">
        <f t="shared" si="8"/>
        <v>2Tie</v>
      </c>
      <c r="AB52" s="1" t="str">
        <f t="shared" si="9"/>
        <v>Wrong</v>
      </c>
      <c r="AC52" s="7"/>
    </row>
    <row r="53" spans="1:29" x14ac:dyDescent="0.25">
      <c r="A53" s="2">
        <f t="shared" si="4"/>
        <v>49</v>
      </c>
      <c r="B53" s="5" t="s">
        <v>56</v>
      </c>
      <c r="C53" s="5" t="s">
        <v>46</v>
      </c>
      <c r="D53" s="5" t="s">
        <v>41</v>
      </c>
      <c r="E53" s="5" t="s">
        <v>53</v>
      </c>
      <c r="F53" s="5" t="s">
        <v>59</v>
      </c>
      <c r="I53" s="6">
        <v>2</v>
      </c>
      <c r="J53" s="6">
        <v>2</v>
      </c>
      <c r="K53" s="6">
        <v>2</v>
      </c>
      <c r="L53" s="6">
        <v>2</v>
      </c>
      <c r="M53" s="1" t="str">
        <f t="shared" si="0"/>
        <v>Tie</v>
      </c>
      <c r="O53" s="5" t="s">
        <v>60</v>
      </c>
      <c r="P53" s="5" t="s">
        <v>52</v>
      </c>
      <c r="Q53" s="5" t="s">
        <v>55</v>
      </c>
      <c r="R53" s="5" t="s">
        <v>58</v>
      </c>
      <c r="S53" s="5" t="s">
        <v>43</v>
      </c>
      <c r="T53" s="7"/>
      <c r="U53" s="13">
        <v>1</v>
      </c>
      <c r="V53" s="13">
        <v>1</v>
      </c>
      <c r="W53" s="7"/>
      <c r="X53" s="1">
        <f t="shared" si="5"/>
        <v>0</v>
      </c>
      <c r="Y53" s="1">
        <f t="shared" si="6"/>
        <v>0</v>
      </c>
      <c r="Z53" s="1" t="b">
        <f t="shared" si="7"/>
        <v>0</v>
      </c>
      <c r="AA53" s="1" t="str">
        <f t="shared" si="8"/>
        <v>2Tie</v>
      </c>
      <c r="AB53" s="1" t="str">
        <f t="shared" si="9"/>
        <v>Wrong</v>
      </c>
      <c r="AC53" s="7"/>
    </row>
    <row r="54" spans="1:29" x14ac:dyDescent="0.25">
      <c r="A54" s="2">
        <f t="shared" si="4"/>
        <v>50</v>
      </c>
      <c r="B54" s="5" t="s">
        <v>62</v>
      </c>
      <c r="C54" s="5" t="s">
        <v>56</v>
      </c>
      <c r="D54" s="5" t="s">
        <v>34</v>
      </c>
      <c r="E54" s="5" t="s">
        <v>45</v>
      </c>
      <c r="F54" s="5" t="s">
        <v>27</v>
      </c>
      <c r="I54" s="6">
        <v>2</v>
      </c>
      <c r="J54" s="6">
        <v>1</v>
      </c>
      <c r="K54" s="6">
        <v>2</v>
      </c>
      <c r="L54" s="6">
        <v>2</v>
      </c>
      <c r="M54" s="1" t="str">
        <f t="shared" si="0"/>
        <v>Tie</v>
      </c>
      <c r="O54" s="5" t="s">
        <v>48</v>
      </c>
      <c r="P54" s="5" t="s">
        <v>41</v>
      </c>
      <c r="Q54" s="5" t="s">
        <v>35</v>
      </c>
      <c r="R54" s="5" t="s">
        <v>57</v>
      </c>
      <c r="S54" s="5" t="s">
        <v>26</v>
      </c>
      <c r="T54" s="7"/>
      <c r="U54" s="13">
        <v>1</v>
      </c>
      <c r="V54" s="13">
        <v>1</v>
      </c>
      <c r="W54" s="7"/>
      <c r="X54" s="1">
        <f t="shared" si="5"/>
        <v>0</v>
      </c>
      <c r="Y54" s="1">
        <f t="shared" si="6"/>
        <v>1</v>
      </c>
      <c r="Z54" s="1" t="b">
        <f t="shared" si="7"/>
        <v>0</v>
      </c>
      <c r="AA54" s="1" t="str">
        <f t="shared" si="8"/>
        <v>2Tie</v>
      </c>
      <c r="AB54" s="1" t="str">
        <f t="shared" si="9"/>
        <v>Wrong</v>
      </c>
      <c r="AC54" s="7"/>
    </row>
    <row r="55" spans="1:29" x14ac:dyDescent="0.25">
      <c r="A55" s="2">
        <f t="shared" si="4"/>
        <v>51</v>
      </c>
      <c r="B55" s="5" t="s">
        <v>50</v>
      </c>
      <c r="C55" s="5" t="s">
        <v>44</v>
      </c>
      <c r="D55" s="5" t="s">
        <v>26</v>
      </c>
      <c r="E55" s="5" t="s">
        <v>47</v>
      </c>
      <c r="F55" s="5" t="s">
        <v>41</v>
      </c>
      <c r="I55" s="6">
        <v>2</v>
      </c>
      <c r="J55" s="6">
        <v>2</v>
      </c>
      <c r="K55" s="6">
        <v>2</v>
      </c>
      <c r="L55" s="6">
        <v>2</v>
      </c>
      <c r="M55" s="1" t="str">
        <f t="shared" si="0"/>
        <v>Tie</v>
      </c>
      <c r="O55" s="5" t="s">
        <v>37</v>
      </c>
      <c r="P55" s="5" t="s">
        <v>57</v>
      </c>
      <c r="Q55" s="5" t="s">
        <v>25</v>
      </c>
      <c r="R55" s="5" t="s">
        <v>54</v>
      </c>
      <c r="S55" s="5" t="s">
        <v>55</v>
      </c>
      <c r="T55" s="7"/>
      <c r="U55" s="13">
        <v>1</v>
      </c>
      <c r="V55" s="13">
        <v>1</v>
      </c>
      <c r="W55" s="7"/>
      <c r="X55" s="1">
        <f t="shared" si="5"/>
        <v>0</v>
      </c>
      <c r="Y55" s="1">
        <f t="shared" si="6"/>
        <v>0</v>
      </c>
      <c r="Z55" s="1" t="b">
        <f t="shared" si="7"/>
        <v>0</v>
      </c>
      <c r="AA55" s="1" t="str">
        <f t="shared" si="8"/>
        <v>2Tie</v>
      </c>
      <c r="AB55" s="1" t="str">
        <f t="shared" si="9"/>
        <v>Wrong</v>
      </c>
      <c r="AC55" s="7"/>
    </row>
    <row r="56" spans="1:29" x14ac:dyDescent="0.25">
      <c r="A56" s="2">
        <f t="shared" si="4"/>
        <v>52</v>
      </c>
      <c r="B56" s="5" t="s">
        <v>50</v>
      </c>
      <c r="C56" s="5" t="s">
        <v>49</v>
      </c>
      <c r="D56" s="5" t="s">
        <v>40</v>
      </c>
      <c r="E56" s="5" t="s">
        <v>31</v>
      </c>
      <c r="F56" s="5" t="s">
        <v>54</v>
      </c>
      <c r="I56" s="6">
        <v>1</v>
      </c>
      <c r="J56" s="6">
        <v>2</v>
      </c>
      <c r="K56" s="6">
        <v>1</v>
      </c>
      <c r="L56" s="6">
        <v>1</v>
      </c>
      <c r="M56" s="1" t="str">
        <f t="shared" si="0"/>
        <v>Tie</v>
      </c>
      <c r="O56" s="5" t="s">
        <v>60</v>
      </c>
      <c r="P56" s="5" t="s">
        <v>29</v>
      </c>
      <c r="Q56" s="5" t="s">
        <v>23</v>
      </c>
      <c r="R56" s="5" t="s">
        <v>21</v>
      </c>
      <c r="S56" s="5" t="s">
        <v>0</v>
      </c>
      <c r="T56" s="7"/>
      <c r="U56" s="13">
        <v>1</v>
      </c>
      <c r="V56" s="13">
        <v>1</v>
      </c>
      <c r="W56" s="7"/>
      <c r="X56" s="1">
        <f t="shared" si="5"/>
        <v>1</v>
      </c>
      <c r="Y56" s="1">
        <f t="shared" si="6"/>
        <v>0</v>
      </c>
      <c r="Z56" s="1" t="b">
        <f t="shared" si="7"/>
        <v>0</v>
      </c>
      <c r="AA56" s="1" t="str">
        <f t="shared" si="8"/>
        <v>1Tie</v>
      </c>
      <c r="AB56" s="1" t="str">
        <f t="shared" si="9"/>
        <v>Wrong</v>
      </c>
      <c r="AC56" s="7"/>
    </row>
    <row r="57" spans="1:29" x14ac:dyDescent="0.25">
      <c r="A57" s="2">
        <f t="shared" si="4"/>
        <v>53</v>
      </c>
      <c r="B57" s="5" t="s">
        <v>4</v>
      </c>
      <c r="C57" s="5" t="s">
        <v>52</v>
      </c>
      <c r="D57" s="5" t="s">
        <v>24</v>
      </c>
      <c r="E57" s="5" t="s">
        <v>57</v>
      </c>
      <c r="F57" s="5" t="s">
        <v>36</v>
      </c>
      <c r="I57" s="6">
        <v>1</v>
      </c>
      <c r="J57" s="6">
        <v>2</v>
      </c>
      <c r="K57" s="6">
        <v>1</v>
      </c>
      <c r="L57" s="6">
        <v>1</v>
      </c>
      <c r="M57" s="1" t="str">
        <f t="shared" si="0"/>
        <v>Tie</v>
      </c>
      <c r="O57" s="5" t="s">
        <v>38</v>
      </c>
      <c r="P57" s="5" t="s">
        <v>29</v>
      </c>
      <c r="Q57" s="5" t="s">
        <v>50</v>
      </c>
      <c r="R57" s="5" t="s">
        <v>30</v>
      </c>
      <c r="S57" s="5" t="s">
        <v>42</v>
      </c>
      <c r="T57" s="7"/>
      <c r="U57" s="13">
        <v>1</v>
      </c>
      <c r="V57" s="13">
        <v>1</v>
      </c>
      <c r="W57" s="7"/>
      <c r="X57" s="1">
        <f t="shared" si="5"/>
        <v>1</v>
      </c>
      <c r="Y57" s="1">
        <f t="shared" si="6"/>
        <v>0</v>
      </c>
      <c r="Z57" s="1" t="b">
        <f t="shared" si="7"/>
        <v>0</v>
      </c>
      <c r="AA57" s="1" t="str">
        <f t="shared" si="8"/>
        <v>1Tie</v>
      </c>
      <c r="AB57" s="1" t="str">
        <f t="shared" si="9"/>
        <v>Wrong</v>
      </c>
      <c r="AC57" s="7"/>
    </row>
    <row r="58" spans="1:29" x14ac:dyDescent="0.25">
      <c r="A58" s="2">
        <f t="shared" si="4"/>
        <v>54</v>
      </c>
      <c r="B58" s="5" t="s">
        <v>24</v>
      </c>
      <c r="C58" s="5" t="s">
        <v>1</v>
      </c>
      <c r="D58" s="5" t="s">
        <v>43</v>
      </c>
      <c r="E58" s="5" t="s">
        <v>28</v>
      </c>
      <c r="F58" s="5" t="s">
        <v>58</v>
      </c>
      <c r="I58" s="6">
        <v>1</v>
      </c>
      <c r="J58" s="6">
        <v>1</v>
      </c>
      <c r="K58" s="6">
        <v>1</v>
      </c>
      <c r="L58" s="6">
        <v>1</v>
      </c>
      <c r="M58" s="1" t="str">
        <f t="shared" si="0"/>
        <v>Tie</v>
      </c>
      <c r="O58" s="5" t="s">
        <v>49</v>
      </c>
      <c r="P58" s="5" t="s">
        <v>4</v>
      </c>
      <c r="Q58" s="5" t="s">
        <v>55</v>
      </c>
      <c r="R58" s="5" t="s">
        <v>56</v>
      </c>
      <c r="S58" s="5" t="s">
        <v>37</v>
      </c>
      <c r="T58" s="7"/>
      <c r="U58" s="13">
        <v>1</v>
      </c>
      <c r="V58" s="13">
        <v>1</v>
      </c>
      <c r="W58" s="7"/>
      <c r="X58" s="1">
        <f t="shared" si="5"/>
        <v>1</v>
      </c>
      <c r="Y58" s="1">
        <f t="shared" si="6"/>
        <v>1</v>
      </c>
      <c r="Z58" s="1" t="b">
        <f t="shared" si="7"/>
        <v>1</v>
      </c>
      <c r="AA58" s="1" t="str">
        <f t="shared" si="8"/>
        <v>1Tie</v>
      </c>
      <c r="AB58" s="1" t="str">
        <f t="shared" si="9"/>
        <v>1Tie</v>
      </c>
      <c r="AC58" s="7"/>
    </row>
    <row r="59" spans="1:29" x14ac:dyDescent="0.25">
      <c r="A59" s="2">
        <f t="shared" si="4"/>
        <v>55</v>
      </c>
      <c r="B59" s="5" t="s">
        <v>4</v>
      </c>
      <c r="C59" s="5" t="s">
        <v>15</v>
      </c>
      <c r="D59" s="5" t="s">
        <v>44</v>
      </c>
      <c r="E59" s="5" t="s">
        <v>48</v>
      </c>
      <c r="F59" s="5" t="s">
        <v>26</v>
      </c>
      <c r="I59" s="6">
        <v>1</v>
      </c>
      <c r="J59" s="6">
        <v>2</v>
      </c>
      <c r="K59" s="6">
        <v>1</v>
      </c>
      <c r="L59" s="6">
        <v>1</v>
      </c>
      <c r="M59" s="1" t="str">
        <f t="shared" si="0"/>
        <v>Tie</v>
      </c>
      <c r="O59" s="5" t="s">
        <v>39</v>
      </c>
      <c r="P59" s="5" t="s">
        <v>21</v>
      </c>
      <c r="Q59" s="5" t="s">
        <v>29</v>
      </c>
      <c r="R59" s="5" t="s">
        <v>53</v>
      </c>
      <c r="S59" s="5" t="s">
        <v>2</v>
      </c>
      <c r="T59" s="7"/>
      <c r="U59" s="13">
        <v>1</v>
      </c>
      <c r="V59" s="13">
        <v>1</v>
      </c>
      <c r="W59" s="7"/>
      <c r="X59" s="1">
        <f t="shared" si="5"/>
        <v>1</v>
      </c>
      <c r="Y59" s="1">
        <f t="shared" si="6"/>
        <v>0</v>
      </c>
      <c r="Z59" s="1" t="b">
        <f t="shared" si="7"/>
        <v>0</v>
      </c>
      <c r="AA59" s="1" t="str">
        <f t="shared" si="8"/>
        <v>1Tie</v>
      </c>
      <c r="AB59" s="1" t="str">
        <f t="shared" si="9"/>
        <v>Wrong</v>
      </c>
      <c r="AC59" s="7"/>
    </row>
    <row r="60" spans="1:29" x14ac:dyDescent="0.25">
      <c r="A60" s="2">
        <f t="shared" si="4"/>
        <v>56</v>
      </c>
      <c r="B60" s="5" t="s">
        <v>24</v>
      </c>
      <c r="C60" s="5" t="s">
        <v>29</v>
      </c>
      <c r="D60" s="5" t="s">
        <v>51</v>
      </c>
      <c r="E60" s="5" t="s">
        <v>33</v>
      </c>
      <c r="F60" s="5" t="s">
        <v>37</v>
      </c>
      <c r="I60" s="6">
        <v>1</v>
      </c>
      <c r="J60" s="6">
        <v>2</v>
      </c>
      <c r="K60" s="6">
        <v>1</v>
      </c>
      <c r="L60" s="6">
        <v>1</v>
      </c>
      <c r="M60" s="1" t="str">
        <f t="shared" si="0"/>
        <v>Tie</v>
      </c>
      <c r="O60" s="5" t="s">
        <v>34</v>
      </c>
      <c r="P60" s="5" t="s">
        <v>4</v>
      </c>
      <c r="Q60" s="5" t="s">
        <v>52</v>
      </c>
      <c r="R60" s="5" t="s">
        <v>40</v>
      </c>
      <c r="S60" s="5" t="s">
        <v>30</v>
      </c>
      <c r="T60" s="7"/>
      <c r="U60" s="13">
        <v>1</v>
      </c>
      <c r="V60" s="13">
        <v>1</v>
      </c>
      <c r="W60" s="7"/>
      <c r="X60" s="1">
        <f t="shared" si="5"/>
        <v>1</v>
      </c>
      <c r="Y60" s="1">
        <f t="shared" si="6"/>
        <v>0</v>
      </c>
      <c r="Z60" s="1" t="b">
        <f t="shared" si="7"/>
        <v>0</v>
      </c>
      <c r="AA60" s="1" t="str">
        <f t="shared" si="8"/>
        <v>1Tie</v>
      </c>
      <c r="AB60" s="1" t="str">
        <f t="shared" si="9"/>
        <v>Wrong</v>
      </c>
      <c r="AC60" s="7"/>
    </row>
    <row r="61" spans="1:29" x14ac:dyDescent="0.25">
      <c r="A61" s="2">
        <f t="shared" si="4"/>
        <v>57</v>
      </c>
      <c r="B61" s="5" t="s">
        <v>55</v>
      </c>
      <c r="C61" s="5" t="s">
        <v>10</v>
      </c>
      <c r="D61" s="5" t="s">
        <v>43</v>
      </c>
      <c r="E61" s="5" t="s">
        <v>4</v>
      </c>
      <c r="F61" s="5" t="s">
        <v>59</v>
      </c>
      <c r="I61" s="6">
        <v>1</v>
      </c>
      <c r="J61" s="6">
        <v>2</v>
      </c>
      <c r="K61" s="6">
        <v>1</v>
      </c>
      <c r="L61" s="6">
        <v>1</v>
      </c>
      <c r="M61" s="1" t="str">
        <f t="shared" si="0"/>
        <v>Tie</v>
      </c>
      <c r="O61" s="5" t="s">
        <v>34</v>
      </c>
      <c r="P61" s="5" t="s">
        <v>25</v>
      </c>
      <c r="Q61" s="5" t="s">
        <v>12</v>
      </c>
      <c r="R61" s="5" t="s">
        <v>47</v>
      </c>
      <c r="S61" s="5" t="s">
        <v>51</v>
      </c>
      <c r="T61" s="7"/>
      <c r="U61" s="13">
        <v>1</v>
      </c>
      <c r="V61" s="13">
        <v>1</v>
      </c>
      <c r="W61" s="7"/>
      <c r="X61" s="1">
        <f t="shared" si="5"/>
        <v>1</v>
      </c>
      <c r="Y61" s="1">
        <f t="shared" si="6"/>
        <v>0</v>
      </c>
      <c r="Z61" s="1" t="b">
        <f t="shared" si="7"/>
        <v>0</v>
      </c>
      <c r="AA61" s="1" t="str">
        <f t="shared" si="8"/>
        <v>1Tie</v>
      </c>
      <c r="AB61" s="1" t="str">
        <f t="shared" si="9"/>
        <v>Wrong</v>
      </c>
      <c r="AC61" s="7"/>
    </row>
    <row r="62" spans="1:29" x14ac:dyDescent="0.25">
      <c r="A62" s="2">
        <f t="shared" si="4"/>
        <v>58</v>
      </c>
      <c r="B62" s="5" t="s">
        <v>59</v>
      </c>
      <c r="C62" s="5" t="s">
        <v>30</v>
      </c>
      <c r="D62" s="5" t="s">
        <v>27</v>
      </c>
      <c r="E62" s="5" t="s">
        <v>55</v>
      </c>
      <c r="F62" s="5" t="s">
        <v>54</v>
      </c>
      <c r="I62" s="6">
        <v>1</v>
      </c>
      <c r="J62" s="6">
        <v>2</v>
      </c>
      <c r="K62" s="6">
        <v>1</v>
      </c>
      <c r="L62" s="6">
        <v>1</v>
      </c>
      <c r="M62" s="1" t="str">
        <f t="shared" si="0"/>
        <v>Tie</v>
      </c>
      <c r="O62" s="5" t="s">
        <v>34</v>
      </c>
      <c r="P62" s="5" t="s">
        <v>40</v>
      </c>
      <c r="Q62" s="5" t="s">
        <v>14</v>
      </c>
      <c r="R62" s="5" t="s">
        <v>44</v>
      </c>
      <c r="S62" s="5" t="s">
        <v>25</v>
      </c>
      <c r="T62" s="7"/>
      <c r="U62" s="13">
        <v>1</v>
      </c>
      <c r="V62" s="13">
        <v>1</v>
      </c>
      <c r="W62" s="7"/>
      <c r="X62" s="1">
        <f t="shared" si="5"/>
        <v>1</v>
      </c>
      <c r="Y62" s="1">
        <f t="shared" si="6"/>
        <v>0</v>
      </c>
      <c r="Z62" s="1" t="b">
        <f t="shared" si="7"/>
        <v>0</v>
      </c>
      <c r="AA62" s="1" t="str">
        <f t="shared" si="8"/>
        <v>1Tie</v>
      </c>
      <c r="AB62" s="1" t="str">
        <f t="shared" si="9"/>
        <v>Wrong</v>
      </c>
      <c r="AC62" s="7"/>
    </row>
    <row r="63" spans="1:29" x14ac:dyDescent="0.25">
      <c r="A63" s="2">
        <f t="shared" si="4"/>
        <v>59</v>
      </c>
      <c r="B63" s="5" t="s">
        <v>12</v>
      </c>
      <c r="C63" s="5" t="s">
        <v>40</v>
      </c>
      <c r="D63" s="5" t="s">
        <v>10</v>
      </c>
      <c r="E63" s="5" t="s">
        <v>54</v>
      </c>
      <c r="F63" s="5" t="s">
        <v>30</v>
      </c>
      <c r="I63" s="6">
        <v>1</v>
      </c>
      <c r="J63" s="6">
        <v>2</v>
      </c>
      <c r="K63" s="6">
        <v>1</v>
      </c>
      <c r="L63" s="6">
        <v>1</v>
      </c>
      <c r="M63" s="1" t="str">
        <f t="shared" si="0"/>
        <v>Tie</v>
      </c>
      <c r="O63" s="5" t="s">
        <v>61</v>
      </c>
      <c r="P63" s="5" t="s">
        <v>39</v>
      </c>
      <c r="Q63" s="5" t="s">
        <v>62</v>
      </c>
      <c r="R63" s="5" t="s">
        <v>14</v>
      </c>
      <c r="S63" s="5" t="s">
        <v>21</v>
      </c>
      <c r="T63" s="7"/>
      <c r="U63" s="13">
        <v>1</v>
      </c>
      <c r="V63" s="13">
        <v>1</v>
      </c>
      <c r="W63" s="7"/>
      <c r="X63" s="1">
        <f t="shared" si="5"/>
        <v>1</v>
      </c>
      <c r="Y63" s="1">
        <f t="shared" si="6"/>
        <v>0</v>
      </c>
      <c r="Z63" s="1" t="b">
        <f t="shared" si="7"/>
        <v>0</v>
      </c>
      <c r="AA63" s="1" t="str">
        <f t="shared" si="8"/>
        <v>1Tie</v>
      </c>
      <c r="AB63" s="1" t="str">
        <f t="shared" si="9"/>
        <v>Wrong</v>
      </c>
      <c r="AC63" s="7"/>
    </row>
    <row r="64" spans="1:29" x14ac:dyDescent="0.25">
      <c r="A64" s="2">
        <f t="shared" si="4"/>
        <v>60</v>
      </c>
      <c r="B64" s="5" t="s">
        <v>53</v>
      </c>
      <c r="C64" s="5" t="s">
        <v>30</v>
      </c>
      <c r="D64" s="5" t="s">
        <v>40</v>
      </c>
      <c r="E64" s="5" t="s">
        <v>13</v>
      </c>
      <c r="F64" s="5" t="s">
        <v>38</v>
      </c>
      <c r="I64" s="6">
        <v>10</v>
      </c>
      <c r="J64" s="6">
        <v>0</v>
      </c>
      <c r="K64" s="6">
        <v>10</v>
      </c>
      <c r="L64" s="6">
        <v>10</v>
      </c>
      <c r="M64" s="1" t="str">
        <f t="shared" si="0"/>
        <v>DH</v>
      </c>
      <c r="O64" s="5" t="s">
        <v>0</v>
      </c>
      <c r="P64" s="5" t="s">
        <v>23</v>
      </c>
      <c r="Q64" s="5" t="s">
        <v>22</v>
      </c>
      <c r="R64" s="5" t="s">
        <v>14</v>
      </c>
      <c r="S64" s="5" t="s">
        <v>21</v>
      </c>
      <c r="T64" s="7"/>
      <c r="U64" s="13">
        <v>1</v>
      </c>
      <c r="V64" s="13">
        <v>1</v>
      </c>
      <c r="W64" s="7"/>
      <c r="X64" s="1">
        <f t="shared" si="5"/>
        <v>0</v>
      </c>
      <c r="Y64" s="1">
        <f t="shared" si="6"/>
        <v>0</v>
      </c>
      <c r="Z64" s="1" t="b">
        <f t="shared" si="7"/>
        <v>0</v>
      </c>
      <c r="AA64" s="1" t="str">
        <f t="shared" si="8"/>
        <v>10DH</v>
      </c>
      <c r="AB64" s="1" t="str">
        <f t="shared" si="9"/>
        <v>Wrong</v>
      </c>
      <c r="AC64" s="7"/>
    </row>
    <row r="65" spans="1:29" x14ac:dyDescent="0.25">
      <c r="A65" s="2">
        <f t="shared" si="4"/>
        <v>61</v>
      </c>
      <c r="B65" s="5" t="s">
        <v>51</v>
      </c>
      <c r="C65" s="5" t="s">
        <v>33</v>
      </c>
      <c r="D65" s="5" t="s">
        <v>1</v>
      </c>
      <c r="E65" s="5" t="s">
        <v>15</v>
      </c>
      <c r="F65" s="5" t="s">
        <v>36</v>
      </c>
      <c r="I65" s="6">
        <v>10</v>
      </c>
      <c r="J65" s="6">
        <v>0</v>
      </c>
      <c r="K65" s="6">
        <v>10</v>
      </c>
      <c r="L65" s="6">
        <v>10</v>
      </c>
      <c r="M65" s="1" t="str">
        <f t="shared" si="0"/>
        <v>DH</v>
      </c>
      <c r="O65" s="5" t="s">
        <v>0</v>
      </c>
      <c r="P65" s="5" t="s">
        <v>23</v>
      </c>
      <c r="Q65" s="5" t="s">
        <v>22</v>
      </c>
      <c r="R65" s="5" t="s">
        <v>14</v>
      </c>
      <c r="S65" s="5" t="s">
        <v>21</v>
      </c>
      <c r="T65" s="7"/>
      <c r="U65" s="13">
        <v>1</v>
      </c>
      <c r="V65" s="13">
        <v>1</v>
      </c>
      <c r="W65" s="7"/>
      <c r="X65" s="1">
        <f t="shared" si="5"/>
        <v>0</v>
      </c>
      <c r="Y65" s="1">
        <f t="shared" si="6"/>
        <v>0</v>
      </c>
      <c r="Z65" s="1" t="b">
        <f t="shared" si="7"/>
        <v>0</v>
      </c>
      <c r="AA65" s="1" t="str">
        <f t="shared" si="8"/>
        <v>10DH</v>
      </c>
      <c r="AB65" s="1" t="str">
        <f t="shared" si="9"/>
        <v>Wrong</v>
      </c>
      <c r="AC65" s="7"/>
    </row>
    <row r="66" spans="1:29" x14ac:dyDescent="0.25">
      <c r="A66" s="2">
        <f t="shared" si="4"/>
        <v>62</v>
      </c>
      <c r="B66" s="5" t="s">
        <v>44</v>
      </c>
      <c r="C66" s="5" t="s">
        <v>52</v>
      </c>
      <c r="D66" s="5" t="s">
        <v>56</v>
      </c>
      <c r="E66" s="5" t="s">
        <v>38</v>
      </c>
      <c r="F66" s="5" t="s">
        <v>10</v>
      </c>
      <c r="I66" s="6">
        <v>9</v>
      </c>
      <c r="J66" s="6">
        <v>0</v>
      </c>
      <c r="K66" s="6">
        <v>9</v>
      </c>
      <c r="L66" s="6">
        <v>9</v>
      </c>
      <c r="M66" s="1" t="str">
        <f t="shared" si="0"/>
        <v>DH</v>
      </c>
      <c r="O66" s="5" t="s">
        <v>50</v>
      </c>
      <c r="P66" s="5" t="s">
        <v>28</v>
      </c>
      <c r="Q66" s="5" t="s">
        <v>62</v>
      </c>
      <c r="R66" s="5" t="s">
        <v>36</v>
      </c>
      <c r="S66" s="5" t="s">
        <v>2</v>
      </c>
      <c r="T66" s="7"/>
      <c r="U66" s="13">
        <v>1</v>
      </c>
      <c r="V66" s="13">
        <v>1</v>
      </c>
      <c r="W66" s="7"/>
      <c r="X66" s="1">
        <f t="shared" si="5"/>
        <v>0</v>
      </c>
      <c r="Y66" s="1">
        <f t="shared" si="6"/>
        <v>0</v>
      </c>
      <c r="Z66" s="1" t="b">
        <f t="shared" si="7"/>
        <v>0</v>
      </c>
      <c r="AA66" s="1" t="str">
        <f t="shared" si="8"/>
        <v>9DH</v>
      </c>
      <c r="AB66" s="1" t="str">
        <f t="shared" si="9"/>
        <v>Wrong</v>
      </c>
      <c r="AC66" s="7"/>
    </row>
    <row r="67" spans="1:29" x14ac:dyDescent="0.25">
      <c r="A67" s="2">
        <f t="shared" si="4"/>
        <v>63</v>
      </c>
      <c r="B67" s="5" t="s">
        <v>44</v>
      </c>
      <c r="C67" s="5" t="s">
        <v>52</v>
      </c>
      <c r="D67" s="5" t="s">
        <v>56</v>
      </c>
      <c r="E67" s="5" t="s">
        <v>47</v>
      </c>
      <c r="F67" s="5" t="s">
        <v>10</v>
      </c>
      <c r="I67" s="6">
        <v>9</v>
      </c>
      <c r="J67" s="6">
        <v>0</v>
      </c>
      <c r="K67" s="6">
        <v>9</v>
      </c>
      <c r="L67" s="6">
        <v>9</v>
      </c>
      <c r="M67" s="1" t="str">
        <f t="shared" si="0"/>
        <v>DH</v>
      </c>
      <c r="O67" s="5" t="s">
        <v>37</v>
      </c>
      <c r="P67" s="5" t="s">
        <v>42</v>
      </c>
      <c r="Q67" s="5" t="s">
        <v>48</v>
      </c>
      <c r="R67" s="5" t="s">
        <v>24</v>
      </c>
      <c r="S67" s="5" t="s">
        <v>32</v>
      </c>
      <c r="T67" s="7"/>
      <c r="U67" s="13">
        <v>1</v>
      </c>
      <c r="V67" s="13">
        <v>1</v>
      </c>
      <c r="W67" s="7"/>
      <c r="X67" s="1">
        <f t="shared" si="5"/>
        <v>0</v>
      </c>
      <c r="Y67" s="1">
        <f t="shared" si="6"/>
        <v>0</v>
      </c>
      <c r="Z67" s="1" t="b">
        <f t="shared" si="7"/>
        <v>0</v>
      </c>
      <c r="AA67" s="1" t="str">
        <f t="shared" si="8"/>
        <v>9DH</v>
      </c>
      <c r="AB67" s="1" t="str">
        <f t="shared" si="9"/>
        <v>Wrong</v>
      </c>
      <c r="AC67" s="7"/>
    </row>
    <row r="68" spans="1:29" x14ac:dyDescent="0.25">
      <c r="A68" s="2">
        <f t="shared" si="4"/>
        <v>64</v>
      </c>
      <c r="B68" s="5" t="s">
        <v>10</v>
      </c>
      <c r="C68" s="5" t="s">
        <v>56</v>
      </c>
      <c r="D68" s="5" t="s">
        <v>44</v>
      </c>
      <c r="E68" s="5" t="s">
        <v>52</v>
      </c>
      <c r="F68" s="5" t="s">
        <v>13</v>
      </c>
      <c r="I68" s="6">
        <v>6</v>
      </c>
      <c r="J68" s="6">
        <v>0</v>
      </c>
      <c r="K68" s="6">
        <v>6</v>
      </c>
      <c r="L68" s="6">
        <v>6</v>
      </c>
      <c r="M68" s="1" t="str">
        <f t="shared" si="0"/>
        <v>DH</v>
      </c>
      <c r="O68" s="5" t="s">
        <v>58</v>
      </c>
      <c r="P68" s="5" t="s">
        <v>41</v>
      </c>
      <c r="Q68" s="5" t="s">
        <v>57</v>
      </c>
      <c r="R68" s="5" t="s">
        <v>59</v>
      </c>
      <c r="S68" s="5" t="s">
        <v>12</v>
      </c>
      <c r="T68" s="7"/>
      <c r="U68" s="13">
        <v>1</v>
      </c>
      <c r="V68" s="13">
        <v>1</v>
      </c>
      <c r="W68" s="7"/>
      <c r="X68" s="1">
        <f t="shared" si="5"/>
        <v>0</v>
      </c>
      <c r="Y68" s="1">
        <f t="shared" si="6"/>
        <v>0</v>
      </c>
      <c r="Z68" s="1" t="b">
        <f t="shared" si="7"/>
        <v>0</v>
      </c>
      <c r="AA68" s="1" t="str">
        <f t="shared" si="8"/>
        <v>6DH</v>
      </c>
      <c r="AB68" s="1" t="str">
        <f t="shared" si="9"/>
        <v>Wrong</v>
      </c>
      <c r="AC68" s="7"/>
    </row>
    <row r="69" spans="1:29" x14ac:dyDescent="0.25">
      <c r="A69" s="2">
        <f t="shared" si="4"/>
        <v>65</v>
      </c>
      <c r="B69" s="5" t="s">
        <v>10</v>
      </c>
      <c r="C69" s="5" t="s">
        <v>44</v>
      </c>
      <c r="D69" s="5" t="s">
        <v>56</v>
      </c>
      <c r="E69" s="5" t="s">
        <v>52</v>
      </c>
      <c r="F69" s="5" t="s">
        <v>40</v>
      </c>
      <c r="I69" s="6">
        <v>6</v>
      </c>
      <c r="J69" s="6">
        <v>0</v>
      </c>
      <c r="K69" s="6">
        <v>6</v>
      </c>
      <c r="L69" s="6">
        <v>6</v>
      </c>
      <c r="M69" s="1" t="str">
        <f t="shared" si="0"/>
        <v>DH</v>
      </c>
      <c r="O69" s="5" t="s">
        <v>58</v>
      </c>
      <c r="P69" s="5" t="s">
        <v>41</v>
      </c>
      <c r="Q69" s="5" t="s">
        <v>57</v>
      </c>
      <c r="R69" s="5" t="s">
        <v>39</v>
      </c>
      <c r="S69" s="5" t="s">
        <v>59</v>
      </c>
      <c r="T69" s="7"/>
      <c r="U69" s="13">
        <v>1</v>
      </c>
      <c r="V69" s="13">
        <v>1</v>
      </c>
      <c r="W69" s="7"/>
      <c r="X69" s="1">
        <f t="shared" ref="X69:X77" si="18">(U69=I69)*1</f>
        <v>0</v>
      </c>
      <c r="Y69" s="1">
        <f t="shared" ref="Y69:Y77" si="19">(V69=J69)*1</f>
        <v>0</v>
      </c>
      <c r="Z69" s="1" t="b">
        <f t="shared" ref="Z69:Z77" si="20">AND(X69,Y69)</f>
        <v>0</v>
      </c>
      <c r="AA69" s="1" t="str">
        <f t="shared" ref="AA69:AA77" si="21">IF(I69=-1,-1,I69&amp;M69)</f>
        <v>6DH</v>
      </c>
      <c r="AB69" s="1" t="str">
        <f t="shared" ref="AB69:AB77" si="22">IF(Z69,AA69,"Wrong")</f>
        <v>Wrong</v>
      </c>
      <c r="AC69" s="7"/>
    </row>
    <row r="70" spans="1:29" x14ac:dyDescent="0.25">
      <c r="A70" s="2">
        <f t="shared" ref="A70:A133" si="23">A69+1</f>
        <v>66</v>
      </c>
      <c r="B70" s="5" t="s">
        <v>44</v>
      </c>
      <c r="C70" s="5" t="s">
        <v>62</v>
      </c>
      <c r="D70" s="5" t="s">
        <v>59</v>
      </c>
      <c r="E70" s="5" t="s">
        <v>46</v>
      </c>
      <c r="F70" s="5" t="s">
        <v>58</v>
      </c>
      <c r="I70" s="6">
        <v>5</v>
      </c>
      <c r="J70" s="6">
        <v>0</v>
      </c>
      <c r="K70" s="6">
        <v>5</v>
      </c>
      <c r="L70" s="6">
        <v>5</v>
      </c>
      <c r="M70" s="1" t="str">
        <f t="shared" si="0"/>
        <v>DH</v>
      </c>
      <c r="O70" s="5" t="s">
        <v>50</v>
      </c>
      <c r="P70" s="5" t="s">
        <v>41</v>
      </c>
      <c r="Q70" s="5" t="s">
        <v>52</v>
      </c>
      <c r="R70" s="5" t="s">
        <v>36</v>
      </c>
      <c r="S70" s="5" t="s">
        <v>32</v>
      </c>
      <c r="T70" s="7"/>
      <c r="U70" s="13">
        <v>1</v>
      </c>
      <c r="V70" s="13">
        <v>1</v>
      </c>
      <c r="W70" s="7"/>
      <c r="X70" s="1">
        <f t="shared" si="18"/>
        <v>0</v>
      </c>
      <c r="Y70" s="1">
        <f t="shared" si="19"/>
        <v>0</v>
      </c>
      <c r="Z70" s="1" t="b">
        <f t="shared" si="20"/>
        <v>0</v>
      </c>
      <c r="AA70" s="1" t="str">
        <f t="shared" si="21"/>
        <v>5DH</v>
      </c>
      <c r="AB70" s="1" t="str">
        <f t="shared" si="22"/>
        <v>Wrong</v>
      </c>
      <c r="AC70" s="7"/>
    </row>
    <row r="71" spans="1:29" x14ac:dyDescent="0.25">
      <c r="A71" s="2">
        <f t="shared" si="23"/>
        <v>67</v>
      </c>
      <c r="B71" s="5" t="s">
        <v>2</v>
      </c>
      <c r="C71" s="5" t="s">
        <v>60</v>
      </c>
      <c r="D71" s="5" t="s">
        <v>3</v>
      </c>
      <c r="E71" s="5" t="s">
        <v>26</v>
      </c>
      <c r="F71" s="5" t="s">
        <v>43</v>
      </c>
      <c r="I71" s="6">
        <v>5</v>
      </c>
      <c r="J71" s="6">
        <v>0</v>
      </c>
      <c r="K71" s="6">
        <v>5</v>
      </c>
      <c r="L71" s="6">
        <v>5</v>
      </c>
      <c r="M71" s="1" t="str">
        <f t="shared" si="0"/>
        <v>DH</v>
      </c>
      <c r="O71" s="5" t="s">
        <v>31</v>
      </c>
      <c r="P71" s="5" t="s">
        <v>10</v>
      </c>
      <c r="Q71" s="5" t="s">
        <v>24</v>
      </c>
      <c r="R71" s="5" t="s">
        <v>29</v>
      </c>
      <c r="S71" s="5" t="s">
        <v>61</v>
      </c>
      <c r="T71" s="7"/>
      <c r="U71" s="13">
        <v>1</v>
      </c>
      <c r="V71" s="13">
        <v>1</v>
      </c>
      <c r="W71" s="7"/>
      <c r="X71" s="1">
        <f t="shared" si="18"/>
        <v>0</v>
      </c>
      <c r="Y71" s="1">
        <f t="shared" si="19"/>
        <v>0</v>
      </c>
      <c r="Z71" s="1" t="b">
        <f t="shared" si="20"/>
        <v>0</v>
      </c>
      <c r="AA71" s="1" t="str">
        <f t="shared" si="21"/>
        <v>5DH</v>
      </c>
      <c r="AB71" s="1" t="str">
        <f t="shared" si="22"/>
        <v>Wrong</v>
      </c>
      <c r="AC71" s="7"/>
    </row>
    <row r="72" spans="1:29" x14ac:dyDescent="0.25">
      <c r="A72" s="2">
        <f t="shared" si="23"/>
        <v>68</v>
      </c>
      <c r="B72" s="5" t="s">
        <v>60</v>
      </c>
      <c r="C72" s="5" t="s">
        <v>29</v>
      </c>
      <c r="D72" s="5" t="s">
        <v>26</v>
      </c>
      <c r="E72" s="5" t="s">
        <v>10</v>
      </c>
      <c r="F72" s="5" t="s">
        <v>32</v>
      </c>
      <c r="I72" s="6">
        <v>3</v>
      </c>
      <c r="J72" s="6">
        <v>0</v>
      </c>
      <c r="K72" s="6">
        <v>3</v>
      </c>
      <c r="L72" s="6">
        <v>3</v>
      </c>
      <c r="M72" s="1" t="str">
        <f t="shared" ref="M72:M135" si="24">IF(J72=0,"DH",IF(K72=L72,"Tie",""))</f>
        <v>DH</v>
      </c>
      <c r="O72" s="5" t="s">
        <v>27</v>
      </c>
      <c r="P72" s="5" t="s">
        <v>25</v>
      </c>
      <c r="Q72" s="5" t="s">
        <v>58</v>
      </c>
      <c r="R72" s="5" t="s">
        <v>2</v>
      </c>
      <c r="S72" s="5" t="s">
        <v>61</v>
      </c>
      <c r="T72" s="7"/>
      <c r="U72" s="13">
        <v>1</v>
      </c>
      <c r="V72" s="13">
        <v>1</v>
      </c>
      <c r="W72" s="7"/>
      <c r="X72" s="1">
        <f t="shared" si="18"/>
        <v>0</v>
      </c>
      <c r="Y72" s="1">
        <f t="shared" si="19"/>
        <v>0</v>
      </c>
      <c r="Z72" s="1" t="b">
        <f t="shared" si="20"/>
        <v>0</v>
      </c>
      <c r="AA72" s="1" t="str">
        <f t="shared" si="21"/>
        <v>3DH</v>
      </c>
      <c r="AB72" s="1" t="str">
        <f t="shared" si="22"/>
        <v>Wrong</v>
      </c>
      <c r="AC72" s="7"/>
    </row>
    <row r="73" spans="1:29" x14ac:dyDescent="0.25">
      <c r="A73" s="2">
        <f t="shared" si="23"/>
        <v>69</v>
      </c>
      <c r="B73" s="5" t="s">
        <v>28</v>
      </c>
      <c r="C73" s="5" t="s">
        <v>56</v>
      </c>
      <c r="D73" s="5" t="s">
        <v>62</v>
      </c>
      <c r="E73" s="5" t="s">
        <v>42</v>
      </c>
      <c r="F73" s="5" t="s">
        <v>31</v>
      </c>
      <c r="I73" s="6">
        <v>3</v>
      </c>
      <c r="J73" s="6">
        <v>0</v>
      </c>
      <c r="K73" s="6">
        <v>3</v>
      </c>
      <c r="L73" s="6">
        <v>3</v>
      </c>
      <c r="M73" s="1" t="str">
        <f t="shared" si="24"/>
        <v>DH</v>
      </c>
      <c r="O73" s="5" t="s">
        <v>34</v>
      </c>
      <c r="P73" s="5" t="s">
        <v>48</v>
      </c>
      <c r="Q73" s="5" t="s">
        <v>41</v>
      </c>
      <c r="R73" s="5" t="s">
        <v>52</v>
      </c>
      <c r="S73" s="5" t="s">
        <v>59</v>
      </c>
      <c r="T73" s="7"/>
      <c r="U73" s="13">
        <v>1</v>
      </c>
      <c r="V73" s="13">
        <v>1</v>
      </c>
      <c r="W73" s="7"/>
      <c r="X73" s="1">
        <f t="shared" si="18"/>
        <v>0</v>
      </c>
      <c r="Y73" s="1">
        <f t="shared" si="19"/>
        <v>0</v>
      </c>
      <c r="Z73" s="1" t="b">
        <f t="shared" si="20"/>
        <v>0</v>
      </c>
      <c r="AA73" s="1" t="str">
        <f t="shared" si="21"/>
        <v>3DH</v>
      </c>
      <c r="AB73" s="1" t="str">
        <f t="shared" si="22"/>
        <v>Wrong</v>
      </c>
      <c r="AC73" s="7"/>
    </row>
    <row r="74" spans="1:29" x14ac:dyDescent="0.25">
      <c r="A74" s="2">
        <f t="shared" si="23"/>
        <v>70</v>
      </c>
      <c r="B74" s="5" t="s">
        <v>53</v>
      </c>
      <c r="C74" s="5" t="s">
        <v>52</v>
      </c>
      <c r="D74" s="5" t="s">
        <v>28</v>
      </c>
      <c r="E74" s="5" t="s">
        <v>12</v>
      </c>
      <c r="F74" s="5" t="s">
        <v>10</v>
      </c>
      <c r="I74" s="6">
        <v>2</v>
      </c>
      <c r="J74" s="6">
        <v>0</v>
      </c>
      <c r="K74" s="6">
        <v>2</v>
      </c>
      <c r="L74" s="6">
        <v>2</v>
      </c>
      <c r="M74" s="1" t="str">
        <f t="shared" si="24"/>
        <v>DH</v>
      </c>
      <c r="O74" s="5" t="s">
        <v>51</v>
      </c>
      <c r="P74" s="5" t="s">
        <v>59</v>
      </c>
      <c r="Q74" s="5" t="s">
        <v>42</v>
      </c>
      <c r="R74" s="5" t="s">
        <v>15</v>
      </c>
      <c r="S74" s="5" t="s">
        <v>2</v>
      </c>
      <c r="T74" s="7"/>
      <c r="U74" s="13">
        <v>1</v>
      </c>
      <c r="V74" s="13">
        <v>1</v>
      </c>
      <c r="W74" s="7"/>
      <c r="X74" s="1">
        <f t="shared" si="18"/>
        <v>0</v>
      </c>
      <c r="Y74" s="1">
        <f t="shared" si="19"/>
        <v>0</v>
      </c>
      <c r="Z74" s="1" t="b">
        <f t="shared" si="20"/>
        <v>0</v>
      </c>
      <c r="AA74" s="1" t="str">
        <f t="shared" si="21"/>
        <v>2DH</v>
      </c>
      <c r="AB74" s="1" t="str">
        <f t="shared" si="22"/>
        <v>Wrong</v>
      </c>
      <c r="AC74" s="7"/>
    </row>
    <row r="75" spans="1:29" x14ac:dyDescent="0.25">
      <c r="A75" s="2">
        <f t="shared" si="23"/>
        <v>71</v>
      </c>
      <c r="B75" s="5" t="s">
        <v>12</v>
      </c>
      <c r="C75" s="5" t="s">
        <v>38</v>
      </c>
      <c r="D75" s="5" t="s">
        <v>36</v>
      </c>
      <c r="E75" s="5" t="s">
        <v>44</v>
      </c>
      <c r="F75" s="5" t="s">
        <v>10</v>
      </c>
      <c r="I75" s="6">
        <v>2</v>
      </c>
      <c r="J75" s="6">
        <v>0</v>
      </c>
      <c r="K75" s="6">
        <v>2</v>
      </c>
      <c r="L75" s="6">
        <v>2</v>
      </c>
      <c r="M75" s="1" t="str">
        <f t="shared" si="24"/>
        <v>DH</v>
      </c>
      <c r="O75" s="5" t="s">
        <v>14</v>
      </c>
      <c r="P75" s="5" t="s">
        <v>21</v>
      </c>
      <c r="Q75" s="5" t="s">
        <v>46</v>
      </c>
      <c r="R75" s="5" t="s">
        <v>50</v>
      </c>
      <c r="S75" s="5" t="s">
        <v>2</v>
      </c>
      <c r="T75" s="7"/>
      <c r="U75" s="13">
        <v>1</v>
      </c>
      <c r="V75" s="13">
        <v>1</v>
      </c>
      <c r="W75" s="7"/>
      <c r="X75" s="1">
        <f t="shared" si="18"/>
        <v>0</v>
      </c>
      <c r="Y75" s="1">
        <f t="shared" si="19"/>
        <v>0</v>
      </c>
      <c r="Z75" s="1" t="b">
        <f t="shared" si="20"/>
        <v>0</v>
      </c>
      <c r="AA75" s="1" t="str">
        <f t="shared" si="21"/>
        <v>2DH</v>
      </c>
      <c r="AB75" s="1" t="str">
        <f t="shared" si="22"/>
        <v>Wrong</v>
      </c>
      <c r="AC75" s="7"/>
    </row>
    <row r="76" spans="1:29" x14ac:dyDescent="0.25">
      <c r="A76" s="2">
        <f t="shared" si="23"/>
        <v>72</v>
      </c>
      <c r="B76" s="5" t="s">
        <v>43</v>
      </c>
      <c r="C76" s="5" t="s">
        <v>52</v>
      </c>
      <c r="D76" s="5" t="s">
        <v>39</v>
      </c>
      <c r="E76" s="5" t="s">
        <v>54</v>
      </c>
      <c r="F76" s="5" t="s">
        <v>53</v>
      </c>
      <c r="I76" s="6">
        <v>1</v>
      </c>
      <c r="J76" s="6">
        <v>0</v>
      </c>
      <c r="K76" s="6">
        <v>1</v>
      </c>
      <c r="L76" s="6">
        <v>1</v>
      </c>
      <c r="M76" s="1" t="str">
        <f t="shared" si="24"/>
        <v>DH</v>
      </c>
      <c r="O76" s="5" t="s">
        <v>34</v>
      </c>
      <c r="P76" s="5" t="s">
        <v>59</v>
      </c>
      <c r="Q76" s="5" t="s">
        <v>40</v>
      </c>
      <c r="R76" s="5" t="s">
        <v>24</v>
      </c>
      <c r="S76" s="5" t="s">
        <v>51</v>
      </c>
      <c r="T76" s="7"/>
      <c r="U76" s="13">
        <v>1</v>
      </c>
      <c r="V76" s="13">
        <v>1</v>
      </c>
      <c r="W76" s="7"/>
      <c r="X76" s="1">
        <f t="shared" si="18"/>
        <v>1</v>
      </c>
      <c r="Y76" s="1">
        <f t="shared" si="19"/>
        <v>0</v>
      </c>
      <c r="Z76" s="1" t="b">
        <f t="shared" si="20"/>
        <v>0</v>
      </c>
      <c r="AA76" s="1" t="str">
        <f t="shared" si="21"/>
        <v>1DH</v>
      </c>
      <c r="AB76" s="1" t="str">
        <f t="shared" si="22"/>
        <v>Wrong</v>
      </c>
    </row>
    <row r="77" spans="1:29" x14ac:dyDescent="0.25">
      <c r="A77" s="2">
        <f t="shared" si="23"/>
        <v>73</v>
      </c>
      <c r="B77" s="5" t="s">
        <v>13</v>
      </c>
      <c r="C77" s="5" t="s">
        <v>44</v>
      </c>
      <c r="D77" s="5" t="s">
        <v>56</v>
      </c>
      <c r="E77" s="5" t="s">
        <v>10</v>
      </c>
      <c r="F77" s="5" t="s">
        <v>55</v>
      </c>
      <c r="I77" s="6">
        <v>1</v>
      </c>
      <c r="J77" s="6">
        <v>0</v>
      </c>
      <c r="K77" s="6">
        <v>1</v>
      </c>
      <c r="L77" s="6">
        <v>1</v>
      </c>
      <c r="M77" s="1" t="str">
        <f t="shared" si="24"/>
        <v>DH</v>
      </c>
      <c r="O77" s="5" t="s">
        <v>45</v>
      </c>
      <c r="P77" s="5" t="s">
        <v>15</v>
      </c>
      <c r="Q77" s="5" t="s">
        <v>50</v>
      </c>
      <c r="R77" s="5" t="s">
        <v>62</v>
      </c>
      <c r="S77" s="5" t="s">
        <v>2</v>
      </c>
      <c r="T77" s="7"/>
      <c r="U77" s="13">
        <v>1</v>
      </c>
      <c r="V77" s="13">
        <v>1</v>
      </c>
      <c r="W77" s="7"/>
      <c r="X77" s="1">
        <f t="shared" si="18"/>
        <v>1</v>
      </c>
      <c r="Y77" s="1">
        <f t="shared" si="19"/>
        <v>0</v>
      </c>
      <c r="Z77" s="1" t="b">
        <f t="shared" si="20"/>
        <v>0</v>
      </c>
      <c r="AA77" s="1" t="str">
        <f t="shared" si="21"/>
        <v>1DH</v>
      </c>
      <c r="AB77" s="1" t="str">
        <f t="shared" si="22"/>
        <v>Wrong</v>
      </c>
    </row>
    <row r="78" spans="1:29" x14ac:dyDescent="0.25">
      <c r="A78" s="2">
        <f t="shared" si="23"/>
        <v>74</v>
      </c>
      <c r="B78" s="44" t="str">
        <f t="shared" ref="B78:B109" si="25">R5</f>
        <v>KD</v>
      </c>
      <c r="C78" s="44" t="str">
        <f t="shared" ref="C78:C109" si="26">Q5</f>
        <v>2H</v>
      </c>
      <c r="D78" s="44" t="str">
        <f t="shared" ref="D78:D109" si="27">S5</f>
        <v>6S</v>
      </c>
      <c r="E78" s="44" t="str">
        <f t="shared" ref="E78:E109" si="28">O5</f>
        <v>2C</v>
      </c>
      <c r="F78" s="44" t="str">
        <f t="shared" ref="F78:F109" si="29">P5</f>
        <v>4D</v>
      </c>
      <c r="I78" s="45">
        <f>I5</f>
        <v>10</v>
      </c>
      <c r="J78" s="45">
        <f>CHOOSE(J5+2,-1,0,2,1)</f>
        <v>2</v>
      </c>
      <c r="K78" s="45">
        <f>L5</f>
        <v>2</v>
      </c>
      <c r="L78" s="45">
        <f>K5</f>
        <v>10</v>
      </c>
      <c r="M78" s="1" t="str">
        <f t="shared" si="24"/>
        <v/>
      </c>
      <c r="O78" s="44" t="str">
        <f t="shared" ref="O78:O109" si="30">B5</f>
        <v>QS</v>
      </c>
      <c r="P78" s="44" t="str">
        <f t="shared" ref="P78:P109" si="31">C5</f>
        <v>JS</v>
      </c>
      <c r="Q78" s="44" t="str">
        <f t="shared" ref="Q78:Q109" si="32">F5</f>
        <v>AS</v>
      </c>
      <c r="R78" s="44" t="str">
        <f t="shared" ref="R78:R109" si="33">D5</f>
        <v>10S</v>
      </c>
      <c r="S78" s="44" t="str">
        <f t="shared" ref="S78:S109" si="34">E5</f>
        <v>KS</v>
      </c>
      <c r="T78" s="7"/>
      <c r="U78" s="13">
        <v>1</v>
      </c>
      <c r="V78" s="13">
        <v>1</v>
      </c>
      <c r="W78" s="7"/>
      <c r="X78" s="1">
        <f t="shared" ref="X78:X141" si="35">(U78=I78)*1</f>
        <v>0</v>
      </c>
      <c r="Y78" s="1">
        <f t="shared" ref="Y78:Y141" si="36">(V78=J78)*1</f>
        <v>0</v>
      </c>
      <c r="Z78" s="1" t="b">
        <f t="shared" ref="Z78:Z141" si="37">AND(X78,Y78)</f>
        <v>0</v>
      </c>
      <c r="AA78" s="1" t="str">
        <f t="shared" ref="AA78:AA141" si="38">IF(I78=-1,-1,I78&amp;M78)</f>
        <v>10</v>
      </c>
      <c r="AB78" s="1" t="str">
        <f t="shared" ref="AB78:AB141" si="39">IF(Z78,AA78,"Wrong")</f>
        <v>Wrong</v>
      </c>
    </row>
    <row r="79" spans="1:29" x14ac:dyDescent="0.25">
      <c r="A79" s="2">
        <f t="shared" si="23"/>
        <v>75</v>
      </c>
      <c r="B79" s="44" t="str">
        <f t="shared" si="25"/>
        <v>3C</v>
      </c>
      <c r="C79" s="44" t="str">
        <f t="shared" si="26"/>
        <v>2D</v>
      </c>
      <c r="D79" s="44" t="str">
        <f t="shared" si="27"/>
        <v>7H</v>
      </c>
      <c r="E79" s="44" t="str">
        <f t="shared" si="28"/>
        <v>5H</v>
      </c>
      <c r="F79" s="44" t="str">
        <f t="shared" si="29"/>
        <v>AH</v>
      </c>
      <c r="I79" s="45">
        <f t="shared" ref="I79:I142" si="40">I6</f>
        <v>10</v>
      </c>
      <c r="J79" s="45">
        <f t="shared" ref="J79:J142" si="41">CHOOSE(J6+2,-1,0,2,1)</f>
        <v>2</v>
      </c>
      <c r="K79" s="45">
        <f t="shared" ref="K79:K142" si="42">L6</f>
        <v>1</v>
      </c>
      <c r="L79" s="45">
        <f t="shared" ref="L79:L142" si="43">K6</f>
        <v>10</v>
      </c>
      <c r="M79" s="1" t="str">
        <f t="shared" si="24"/>
        <v/>
      </c>
      <c r="O79" s="44" t="str">
        <f t="shared" si="30"/>
        <v>10C</v>
      </c>
      <c r="P79" s="44" t="str">
        <f t="shared" si="31"/>
        <v>JC</v>
      </c>
      <c r="Q79" s="44" t="str">
        <f t="shared" si="32"/>
        <v>AC</v>
      </c>
      <c r="R79" s="44" t="str">
        <f t="shared" si="33"/>
        <v>QC</v>
      </c>
      <c r="S79" s="44" t="str">
        <f t="shared" si="34"/>
        <v>KC</v>
      </c>
      <c r="T79" s="7"/>
      <c r="U79" s="13">
        <v>1</v>
      </c>
      <c r="V79" s="13">
        <v>1</v>
      </c>
      <c r="W79" s="7"/>
      <c r="X79" s="1">
        <f t="shared" si="35"/>
        <v>0</v>
      </c>
      <c r="Y79" s="1">
        <f t="shared" si="36"/>
        <v>0</v>
      </c>
      <c r="Z79" s="1" t="b">
        <f t="shared" si="37"/>
        <v>0</v>
      </c>
      <c r="AA79" s="1" t="str">
        <f t="shared" si="38"/>
        <v>10</v>
      </c>
      <c r="AB79" s="1" t="str">
        <f t="shared" si="39"/>
        <v>Wrong</v>
      </c>
    </row>
    <row r="80" spans="1:29" x14ac:dyDescent="0.25">
      <c r="A80" s="2">
        <f t="shared" si="23"/>
        <v>76</v>
      </c>
      <c r="B80" s="44" t="str">
        <f t="shared" si="25"/>
        <v>7C</v>
      </c>
      <c r="C80" s="44" t="str">
        <f t="shared" si="26"/>
        <v>5C</v>
      </c>
      <c r="D80" s="44" t="str">
        <f t="shared" si="27"/>
        <v>5S</v>
      </c>
      <c r="E80" s="44" t="str">
        <f t="shared" si="28"/>
        <v>KS</v>
      </c>
      <c r="F80" s="44" t="str">
        <f t="shared" si="29"/>
        <v>10S</v>
      </c>
      <c r="I80" s="45">
        <f t="shared" si="40"/>
        <v>9</v>
      </c>
      <c r="J80" s="45">
        <f t="shared" si="41"/>
        <v>2</v>
      </c>
      <c r="K80" s="45">
        <f t="shared" si="42"/>
        <v>2</v>
      </c>
      <c r="L80" s="45">
        <f t="shared" si="43"/>
        <v>9</v>
      </c>
      <c r="M80" s="1" t="str">
        <f t="shared" si="24"/>
        <v/>
      </c>
      <c r="O80" s="44" t="str">
        <f t="shared" si="30"/>
        <v>2D</v>
      </c>
      <c r="P80" s="44" t="str">
        <f t="shared" si="31"/>
        <v>4D</v>
      </c>
      <c r="Q80" s="44" t="str">
        <f t="shared" si="32"/>
        <v>5D</v>
      </c>
      <c r="R80" s="44" t="str">
        <f t="shared" si="33"/>
        <v>3D</v>
      </c>
      <c r="S80" s="44" t="str">
        <f t="shared" si="34"/>
        <v>AD</v>
      </c>
      <c r="T80" s="7"/>
      <c r="U80" s="13">
        <v>1</v>
      </c>
      <c r="V80" s="13">
        <v>1</v>
      </c>
      <c r="W80" s="7"/>
      <c r="X80" s="1">
        <f t="shared" si="35"/>
        <v>0</v>
      </c>
      <c r="Y80" s="1">
        <f t="shared" si="36"/>
        <v>0</v>
      </c>
      <c r="Z80" s="1" t="b">
        <f t="shared" si="37"/>
        <v>0</v>
      </c>
      <c r="AA80" s="1" t="str">
        <f t="shared" si="38"/>
        <v>9</v>
      </c>
      <c r="AB80" s="1" t="str">
        <f t="shared" si="39"/>
        <v>Wrong</v>
      </c>
    </row>
    <row r="81" spans="1:28" x14ac:dyDescent="0.25">
      <c r="A81" s="2">
        <f t="shared" si="23"/>
        <v>77</v>
      </c>
      <c r="B81" s="44" t="str">
        <f t="shared" si="25"/>
        <v>KC</v>
      </c>
      <c r="C81" s="44" t="str">
        <f t="shared" si="26"/>
        <v>8H</v>
      </c>
      <c r="D81" s="44" t="str">
        <f t="shared" si="27"/>
        <v>4D</v>
      </c>
      <c r="E81" s="44" t="str">
        <f t="shared" si="28"/>
        <v>KS</v>
      </c>
      <c r="F81" s="44" t="str">
        <f t="shared" si="29"/>
        <v>3H</v>
      </c>
      <c r="I81" s="45">
        <f t="shared" si="40"/>
        <v>9</v>
      </c>
      <c r="J81" s="45">
        <f t="shared" si="41"/>
        <v>2</v>
      </c>
      <c r="K81" s="45">
        <f t="shared" si="42"/>
        <v>2</v>
      </c>
      <c r="L81" s="45">
        <f t="shared" si="43"/>
        <v>9</v>
      </c>
      <c r="M81" s="1" t="str">
        <f t="shared" si="24"/>
        <v/>
      </c>
      <c r="O81" s="44" t="str">
        <f t="shared" si="30"/>
        <v>9D</v>
      </c>
      <c r="P81" s="44" t="str">
        <f t="shared" si="31"/>
        <v>JD</v>
      </c>
      <c r="Q81" s="44" t="str">
        <f t="shared" si="32"/>
        <v>10D</v>
      </c>
      <c r="R81" s="44" t="str">
        <f t="shared" si="33"/>
        <v>KD</v>
      </c>
      <c r="S81" s="44" t="str">
        <f t="shared" si="34"/>
        <v>QD</v>
      </c>
      <c r="T81" s="7"/>
      <c r="U81" s="13">
        <v>1</v>
      </c>
      <c r="V81" s="13">
        <v>1</v>
      </c>
      <c r="W81" s="7"/>
      <c r="X81" s="1">
        <f t="shared" si="35"/>
        <v>0</v>
      </c>
      <c r="Y81" s="1">
        <f t="shared" si="36"/>
        <v>0</v>
      </c>
      <c r="Z81" s="1" t="b">
        <f t="shared" si="37"/>
        <v>0</v>
      </c>
      <c r="AA81" s="1" t="str">
        <f t="shared" si="38"/>
        <v>9</v>
      </c>
      <c r="AB81" s="1" t="str">
        <f t="shared" si="39"/>
        <v>Wrong</v>
      </c>
    </row>
    <row r="82" spans="1:28" x14ac:dyDescent="0.25">
      <c r="A82" s="2">
        <f t="shared" si="23"/>
        <v>78</v>
      </c>
      <c r="B82" s="44" t="str">
        <f t="shared" si="25"/>
        <v>QC</v>
      </c>
      <c r="C82" s="44" t="str">
        <f t="shared" si="26"/>
        <v>6S</v>
      </c>
      <c r="D82" s="44" t="str">
        <f t="shared" si="27"/>
        <v>5C</v>
      </c>
      <c r="E82" s="44" t="str">
        <f t="shared" si="28"/>
        <v>6C</v>
      </c>
      <c r="F82" s="44" t="str">
        <f t="shared" si="29"/>
        <v>KS</v>
      </c>
      <c r="I82" s="45">
        <f t="shared" si="40"/>
        <v>8</v>
      </c>
      <c r="J82" s="45">
        <f t="shared" si="41"/>
        <v>2</v>
      </c>
      <c r="K82" s="45">
        <f t="shared" si="42"/>
        <v>2</v>
      </c>
      <c r="L82" s="45">
        <f t="shared" si="43"/>
        <v>8</v>
      </c>
      <c r="M82" s="1" t="str">
        <f t="shared" si="24"/>
        <v/>
      </c>
      <c r="O82" s="44" t="str">
        <f t="shared" si="30"/>
        <v>9H</v>
      </c>
      <c r="P82" s="44" t="str">
        <f t="shared" si="31"/>
        <v>9D</v>
      </c>
      <c r="Q82" s="44" t="str">
        <f t="shared" si="32"/>
        <v>AC</v>
      </c>
      <c r="R82" s="44" t="str">
        <f t="shared" si="33"/>
        <v>9S</v>
      </c>
      <c r="S82" s="44" t="str">
        <f t="shared" si="34"/>
        <v>9C</v>
      </c>
      <c r="T82" s="7"/>
      <c r="U82" s="13">
        <v>1</v>
      </c>
      <c r="V82" s="13">
        <v>1</v>
      </c>
      <c r="W82" s="7"/>
      <c r="X82" s="1">
        <f t="shared" si="35"/>
        <v>0</v>
      </c>
      <c r="Y82" s="1">
        <f t="shared" si="36"/>
        <v>0</v>
      </c>
      <c r="Z82" s="1" t="b">
        <f t="shared" si="37"/>
        <v>0</v>
      </c>
      <c r="AA82" s="1" t="str">
        <f t="shared" si="38"/>
        <v>8</v>
      </c>
      <c r="AB82" s="1" t="str">
        <f t="shared" si="39"/>
        <v>Wrong</v>
      </c>
    </row>
    <row r="83" spans="1:28" x14ac:dyDescent="0.25">
      <c r="A83" s="2">
        <f t="shared" si="23"/>
        <v>79</v>
      </c>
      <c r="B83" s="44" t="str">
        <f t="shared" si="25"/>
        <v>9C</v>
      </c>
      <c r="C83" s="44" t="str">
        <f t="shared" si="26"/>
        <v>9S</v>
      </c>
      <c r="D83" s="44" t="str">
        <f t="shared" si="27"/>
        <v>AC</v>
      </c>
      <c r="E83" s="44" t="str">
        <f t="shared" si="28"/>
        <v>9H</v>
      </c>
      <c r="F83" s="44" t="str">
        <f t="shared" si="29"/>
        <v>9D</v>
      </c>
      <c r="I83" s="45">
        <f t="shared" si="40"/>
        <v>8</v>
      </c>
      <c r="J83" s="45">
        <f t="shared" si="41"/>
        <v>1</v>
      </c>
      <c r="K83" s="45">
        <f t="shared" si="42"/>
        <v>8</v>
      </c>
      <c r="L83" s="45">
        <f t="shared" si="43"/>
        <v>6</v>
      </c>
      <c r="M83" s="1" t="str">
        <f t="shared" si="24"/>
        <v/>
      </c>
      <c r="O83" s="44" t="str">
        <f t="shared" si="30"/>
        <v>5C</v>
      </c>
      <c r="P83" s="44" t="str">
        <f t="shared" si="31"/>
        <v>3C</v>
      </c>
      <c r="Q83" s="44" t="str">
        <f t="shared" si="32"/>
        <v>KC</v>
      </c>
      <c r="R83" s="44" t="str">
        <f t="shared" si="33"/>
        <v>2C</v>
      </c>
      <c r="S83" s="44" t="str">
        <f t="shared" si="34"/>
        <v>4C</v>
      </c>
      <c r="T83" s="7"/>
      <c r="U83" s="13">
        <v>1</v>
      </c>
      <c r="V83" s="13">
        <v>1</v>
      </c>
      <c r="W83" s="7"/>
      <c r="X83" s="1">
        <f t="shared" si="35"/>
        <v>0</v>
      </c>
      <c r="Y83" s="1">
        <f t="shared" si="36"/>
        <v>1</v>
      </c>
      <c r="Z83" s="1" t="b">
        <f t="shared" si="37"/>
        <v>0</v>
      </c>
      <c r="AA83" s="1" t="str">
        <f t="shared" si="38"/>
        <v>8</v>
      </c>
      <c r="AB83" s="1" t="str">
        <f t="shared" si="39"/>
        <v>Wrong</v>
      </c>
    </row>
    <row r="84" spans="1:28" x14ac:dyDescent="0.25">
      <c r="A84" s="2">
        <f t="shared" si="23"/>
        <v>80</v>
      </c>
      <c r="B84" s="44" t="str">
        <f t="shared" si="25"/>
        <v>3D</v>
      </c>
      <c r="C84" s="44" t="str">
        <f t="shared" si="26"/>
        <v>3S</v>
      </c>
      <c r="D84" s="44" t="str">
        <f t="shared" si="27"/>
        <v>AC</v>
      </c>
      <c r="E84" s="44" t="str">
        <f t="shared" si="28"/>
        <v>3C</v>
      </c>
      <c r="F84" s="44" t="str">
        <f t="shared" si="29"/>
        <v>3H</v>
      </c>
      <c r="I84" s="45">
        <f t="shared" si="40"/>
        <v>8</v>
      </c>
      <c r="J84" s="45">
        <f t="shared" si="41"/>
        <v>1</v>
      </c>
      <c r="K84" s="45">
        <f t="shared" si="42"/>
        <v>8</v>
      </c>
      <c r="L84" s="45">
        <f t="shared" si="43"/>
        <v>3</v>
      </c>
      <c r="M84" s="1" t="str">
        <f t="shared" si="24"/>
        <v/>
      </c>
      <c r="O84" s="44" t="str">
        <f t="shared" si="30"/>
        <v>7D</v>
      </c>
      <c r="P84" s="44" t="str">
        <f t="shared" si="31"/>
        <v>5D</v>
      </c>
      <c r="Q84" s="44" t="str">
        <f t="shared" si="32"/>
        <v>KH</v>
      </c>
      <c r="R84" s="44" t="str">
        <f t="shared" si="33"/>
        <v>5H</v>
      </c>
      <c r="S84" s="44" t="str">
        <f t="shared" si="34"/>
        <v>KS</v>
      </c>
      <c r="T84" s="7"/>
      <c r="U84" s="13">
        <v>1</v>
      </c>
      <c r="V84" s="13">
        <v>1</v>
      </c>
      <c r="W84" s="7"/>
      <c r="X84" s="1">
        <f t="shared" si="35"/>
        <v>0</v>
      </c>
      <c r="Y84" s="1">
        <f t="shared" si="36"/>
        <v>1</v>
      </c>
      <c r="Z84" s="1" t="b">
        <f t="shared" si="37"/>
        <v>0</v>
      </c>
      <c r="AA84" s="1" t="str">
        <f t="shared" si="38"/>
        <v>8</v>
      </c>
      <c r="AB84" s="1" t="str">
        <f t="shared" si="39"/>
        <v>Wrong</v>
      </c>
    </row>
    <row r="85" spans="1:28" x14ac:dyDescent="0.25">
      <c r="A85" s="2">
        <f t="shared" si="23"/>
        <v>81</v>
      </c>
      <c r="B85" s="44" t="str">
        <f t="shared" si="25"/>
        <v>4H</v>
      </c>
      <c r="C85" s="44" t="str">
        <f t="shared" si="26"/>
        <v>3C</v>
      </c>
      <c r="D85" s="44" t="str">
        <f t="shared" si="27"/>
        <v>7C</v>
      </c>
      <c r="E85" s="44" t="str">
        <f t="shared" si="28"/>
        <v>AC</v>
      </c>
      <c r="F85" s="44" t="str">
        <f t="shared" si="29"/>
        <v>8C</v>
      </c>
      <c r="I85" s="45">
        <f t="shared" si="40"/>
        <v>7</v>
      </c>
      <c r="J85" s="45">
        <f t="shared" si="41"/>
        <v>2</v>
      </c>
      <c r="K85" s="45">
        <f t="shared" si="42"/>
        <v>1</v>
      </c>
      <c r="L85" s="45">
        <f t="shared" si="43"/>
        <v>7</v>
      </c>
      <c r="M85" s="1" t="str">
        <f t="shared" si="24"/>
        <v/>
      </c>
      <c r="O85" s="44" t="str">
        <f t="shared" si="30"/>
        <v>10C</v>
      </c>
      <c r="P85" s="44" t="str">
        <f t="shared" si="31"/>
        <v>10D</v>
      </c>
      <c r="Q85" s="44" t="str">
        <f t="shared" si="32"/>
        <v>7D</v>
      </c>
      <c r="R85" s="44" t="str">
        <f t="shared" si="33"/>
        <v>10H</v>
      </c>
      <c r="S85" s="44" t="str">
        <f t="shared" si="34"/>
        <v>7S</v>
      </c>
      <c r="T85" s="7"/>
      <c r="U85" s="13">
        <v>1</v>
      </c>
      <c r="V85" s="13">
        <v>1</v>
      </c>
      <c r="W85" s="7"/>
      <c r="X85" s="1">
        <f t="shared" si="35"/>
        <v>0</v>
      </c>
      <c r="Y85" s="1">
        <f t="shared" si="36"/>
        <v>0</v>
      </c>
      <c r="Z85" s="1" t="b">
        <f t="shared" si="37"/>
        <v>0</v>
      </c>
      <c r="AA85" s="1" t="str">
        <f t="shared" si="38"/>
        <v>7</v>
      </c>
      <c r="AB85" s="1" t="str">
        <f t="shared" si="39"/>
        <v>Wrong</v>
      </c>
    </row>
    <row r="86" spans="1:28" x14ac:dyDescent="0.25">
      <c r="A86" s="2">
        <f t="shared" si="23"/>
        <v>82</v>
      </c>
      <c r="B86" s="44" t="str">
        <f t="shared" si="25"/>
        <v>9H</v>
      </c>
      <c r="C86" s="44" t="str">
        <f t="shared" si="26"/>
        <v>9C</v>
      </c>
      <c r="D86" s="44" t="str">
        <f t="shared" si="27"/>
        <v>10S</v>
      </c>
      <c r="E86" s="44" t="str">
        <f t="shared" si="28"/>
        <v>10H</v>
      </c>
      <c r="F86" s="44" t="str">
        <f t="shared" si="29"/>
        <v>9D</v>
      </c>
      <c r="I86" s="45">
        <f t="shared" si="40"/>
        <v>7</v>
      </c>
      <c r="J86" s="45">
        <f t="shared" si="41"/>
        <v>1</v>
      </c>
      <c r="K86" s="45">
        <f t="shared" si="42"/>
        <v>7</v>
      </c>
      <c r="L86" s="45">
        <f t="shared" si="43"/>
        <v>4</v>
      </c>
      <c r="M86" s="1" t="str">
        <f t="shared" si="24"/>
        <v/>
      </c>
      <c r="O86" s="44" t="str">
        <f t="shared" si="30"/>
        <v>10D</v>
      </c>
      <c r="P86" s="44" t="str">
        <f t="shared" si="31"/>
        <v>5H</v>
      </c>
      <c r="Q86" s="44" t="str">
        <f t="shared" si="32"/>
        <v>5D</v>
      </c>
      <c r="R86" s="44" t="str">
        <f t="shared" si="33"/>
        <v>5C</v>
      </c>
      <c r="S86" s="44" t="str">
        <f t="shared" si="34"/>
        <v>7S</v>
      </c>
      <c r="T86" s="7"/>
      <c r="U86" s="13">
        <v>1</v>
      </c>
      <c r="V86" s="13">
        <v>1</v>
      </c>
      <c r="W86" s="7"/>
      <c r="X86" s="1">
        <f t="shared" si="35"/>
        <v>0</v>
      </c>
      <c r="Y86" s="1">
        <f t="shared" si="36"/>
        <v>1</v>
      </c>
      <c r="Z86" s="1" t="b">
        <f t="shared" si="37"/>
        <v>0</v>
      </c>
      <c r="AA86" s="1" t="str">
        <f t="shared" si="38"/>
        <v>7</v>
      </c>
      <c r="AB86" s="1" t="str">
        <f t="shared" si="39"/>
        <v>Wrong</v>
      </c>
    </row>
    <row r="87" spans="1:28" x14ac:dyDescent="0.25">
      <c r="A87" s="2">
        <f t="shared" si="23"/>
        <v>83</v>
      </c>
      <c r="B87" s="44" t="str">
        <f t="shared" si="25"/>
        <v>5D</v>
      </c>
      <c r="C87" s="44" t="str">
        <f t="shared" si="26"/>
        <v>4H</v>
      </c>
      <c r="D87" s="44" t="str">
        <f t="shared" si="27"/>
        <v>6H</v>
      </c>
      <c r="E87" s="44" t="str">
        <f t="shared" si="28"/>
        <v>7H</v>
      </c>
      <c r="F87" s="44" t="str">
        <f t="shared" si="29"/>
        <v>10D</v>
      </c>
      <c r="I87" s="45">
        <f t="shared" si="40"/>
        <v>6</v>
      </c>
      <c r="J87" s="45">
        <f t="shared" si="41"/>
        <v>2</v>
      </c>
      <c r="K87" s="45">
        <f t="shared" si="42"/>
        <v>1</v>
      </c>
      <c r="L87" s="45">
        <f t="shared" si="43"/>
        <v>6</v>
      </c>
      <c r="M87" s="1" t="str">
        <f t="shared" si="24"/>
        <v/>
      </c>
      <c r="O87" s="44" t="str">
        <f t="shared" si="30"/>
        <v>AS</v>
      </c>
      <c r="P87" s="44" t="str">
        <f t="shared" si="31"/>
        <v>10S</v>
      </c>
      <c r="Q87" s="44" t="str">
        <f t="shared" si="32"/>
        <v>8S</v>
      </c>
      <c r="R87" s="44" t="str">
        <f t="shared" si="33"/>
        <v>JS</v>
      </c>
      <c r="S87" s="44" t="str">
        <f t="shared" si="34"/>
        <v>6S</v>
      </c>
      <c r="T87" s="7"/>
      <c r="U87" s="13">
        <v>1</v>
      </c>
      <c r="V87" s="13">
        <v>1</v>
      </c>
      <c r="W87" s="7"/>
      <c r="X87" s="1">
        <f t="shared" si="35"/>
        <v>0</v>
      </c>
      <c r="Y87" s="1">
        <f t="shared" si="36"/>
        <v>0</v>
      </c>
      <c r="Z87" s="1" t="b">
        <f t="shared" si="37"/>
        <v>0</v>
      </c>
      <c r="AA87" s="1" t="str">
        <f t="shared" si="38"/>
        <v>6</v>
      </c>
      <c r="AB87" s="1" t="str">
        <f t="shared" si="39"/>
        <v>Wrong</v>
      </c>
    </row>
    <row r="88" spans="1:28" x14ac:dyDescent="0.25">
      <c r="A88" s="2">
        <f t="shared" si="23"/>
        <v>84</v>
      </c>
      <c r="B88" s="44" t="str">
        <f t="shared" si="25"/>
        <v>JS</v>
      </c>
      <c r="C88" s="44" t="str">
        <f t="shared" si="26"/>
        <v>8S</v>
      </c>
      <c r="D88" s="44" t="str">
        <f t="shared" si="27"/>
        <v>4D</v>
      </c>
      <c r="E88" s="44" t="str">
        <f t="shared" si="28"/>
        <v>3S</v>
      </c>
      <c r="F88" s="44" t="str">
        <f t="shared" si="29"/>
        <v>AD</v>
      </c>
      <c r="I88" s="45">
        <f t="shared" si="40"/>
        <v>6</v>
      </c>
      <c r="J88" s="45">
        <f t="shared" si="41"/>
        <v>2</v>
      </c>
      <c r="K88" s="45">
        <f t="shared" si="42"/>
        <v>1</v>
      </c>
      <c r="L88" s="45">
        <f t="shared" si="43"/>
        <v>6</v>
      </c>
      <c r="M88" s="1" t="str">
        <f t="shared" si="24"/>
        <v/>
      </c>
      <c r="O88" s="44" t="str">
        <f t="shared" si="30"/>
        <v>5C</v>
      </c>
      <c r="P88" s="44" t="str">
        <f t="shared" si="31"/>
        <v>3C</v>
      </c>
      <c r="Q88" s="44" t="str">
        <f t="shared" si="32"/>
        <v>KC</v>
      </c>
      <c r="R88" s="44" t="str">
        <f t="shared" si="33"/>
        <v>2C</v>
      </c>
      <c r="S88" s="44" t="str">
        <f t="shared" si="34"/>
        <v>4C</v>
      </c>
      <c r="T88" s="7"/>
      <c r="U88" s="13">
        <v>1</v>
      </c>
      <c r="V88" s="13">
        <v>1</v>
      </c>
      <c r="W88" s="7"/>
      <c r="X88" s="1">
        <f t="shared" si="35"/>
        <v>0</v>
      </c>
      <c r="Y88" s="1">
        <f t="shared" si="36"/>
        <v>0</v>
      </c>
      <c r="Z88" s="1" t="b">
        <f t="shared" si="37"/>
        <v>0</v>
      </c>
      <c r="AA88" s="1" t="str">
        <f t="shared" si="38"/>
        <v>6</v>
      </c>
      <c r="AB88" s="1" t="str">
        <f t="shared" si="39"/>
        <v>Wrong</v>
      </c>
    </row>
    <row r="89" spans="1:28" x14ac:dyDescent="0.25">
      <c r="A89" s="2">
        <f t="shared" si="23"/>
        <v>85</v>
      </c>
      <c r="B89" s="44" t="str">
        <f t="shared" si="25"/>
        <v>2S</v>
      </c>
      <c r="C89" s="44" t="str">
        <f t="shared" si="26"/>
        <v>9C</v>
      </c>
      <c r="D89" s="44" t="str">
        <f t="shared" si="27"/>
        <v>7D</v>
      </c>
      <c r="E89" s="44" t="str">
        <f t="shared" si="28"/>
        <v>10D</v>
      </c>
      <c r="F89" s="44" t="str">
        <f t="shared" si="29"/>
        <v>QH</v>
      </c>
      <c r="I89" s="45">
        <f t="shared" si="40"/>
        <v>6</v>
      </c>
      <c r="J89" s="45">
        <f t="shared" si="41"/>
        <v>2</v>
      </c>
      <c r="K89" s="45">
        <f t="shared" si="42"/>
        <v>1</v>
      </c>
      <c r="L89" s="45">
        <f t="shared" si="43"/>
        <v>6</v>
      </c>
      <c r="M89" s="1" t="str">
        <f t="shared" si="24"/>
        <v/>
      </c>
      <c r="O89" s="44" t="str">
        <f t="shared" si="30"/>
        <v>5H</v>
      </c>
      <c r="P89" s="44" t="str">
        <f t="shared" si="31"/>
        <v>6H</v>
      </c>
      <c r="Q89" s="44" t="str">
        <f t="shared" si="32"/>
        <v>9H</v>
      </c>
      <c r="R89" s="44" t="str">
        <f t="shared" si="33"/>
        <v>JH</v>
      </c>
      <c r="S89" s="44" t="str">
        <f t="shared" si="34"/>
        <v>3H</v>
      </c>
      <c r="T89" s="7"/>
      <c r="U89" s="13">
        <v>1</v>
      </c>
      <c r="V89" s="13">
        <v>1</v>
      </c>
      <c r="W89" s="7"/>
      <c r="X89" s="1">
        <f t="shared" si="35"/>
        <v>0</v>
      </c>
      <c r="Y89" s="1">
        <f t="shared" si="36"/>
        <v>0</v>
      </c>
      <c r="Z89" s="1" t="b">
        <f t="shared" si="37"/>
        <v>0</v>
      </c>
      <c r="AA89" s="1" t="str">
        <f t="shared" si="38"/>
        <v>6</v>
      </c>
      <c r="AB89" s="1" t="str">
        <f t="shared" si="39"/>
        <v>Wrong</v>
      </c>
    </row>
    <row r="90" spans="1:28" x14ac:dyDescent="0.25">
      <c r="A90" s="2">
        <f t="shared" si="23"/>
        <v>86</v>
      </c>
      <c r="B90" s="44" t="str">
        <f t="shared" si="25"/>
        <v>6S</v>
      </c>
      <c r="C90" s="44" t="str">
        <f t="shared" si="26"/>
        <v>4D</v>
      </c>
      <c r="D90" s="44" t="str">
        <f t="shared" si="27"/>
        <v>3S</v>
      </c>
      <c r="E90" s="44" t="str">
        <f t="shared" si="28"/>
        <v>6D</v>
      </c>
      <c r="F90" s="44" t="str">
        <f t="shared" si="29"/>
        <v>KD</v>
      </c>
      <c r="I90" s="45">
        <f t="shared" si="40"/>
        <v>5</v>
      </c>
      <c r="J90" s="45">
        <f t="shared" si="41"/>
        <v>2</v>
      </c>
      <c r="K90" s="45">
        <f t="shared" si="42"/>
        <v>2</v>
      </c>
      <c r="L90" s="45">
        <f t="shared" si="43"/>
        <v>5</v>
      </c>
      <c r="M90" s="1" t="str">
        <f t="shared" si="24"/>
        <v/>
      </c>
      <c r="O90" s="44" t="str">
        <f t="shared" si="30"/>
        <v>2C</v>
      </c>
      <c r="P90" s="44" t="str">
        <f t="shared" si="31"/>
        <v>3D</v>
      </c>
      <c r="Q90" s="44" t="str">
        <f t="shared" si="32"/>
        <v>5H</v>
      </c>
      <c r="R90" s="44" t="str">
        <f t="shared" si="33"/>
        <v>4H</v>
      </c>
      <c r="S90" s="44" t="str">
        <f t="shared" si="34"/>
        <v>AH</v>
      </c>
      <c r="T90" s="7"/>
      <c r="U90" s="13">
        <v>1</v>
      </c>
      <c r="V90" s="13">
        <v>1</v>
      </c>
      <c r="W90" s="7"/>
      <c r="X90" s="1">
        <f t="shared" si="35"/>
        <v>0</v>
      </c>
      <c r="Y90" s="1">
        <f t="shared" si="36"/>
        <v>0</v>
      </c>
      <c r="Z90" s="1" t="b">
        <f t="shared" si="37"/>
        <v>0</v>
      </c>
      <c r="AA90" s="1" t="str">
        <f t="shared" si="38"/>
        <v>5</v>
      </c>
      <c r="AB90" s="1" t="str">
        <f t="shared" si="39"/>
        <v>Wrong</v>
      </c>
    </row>
    <row r="91" spans="1:28" x14ac:dyDescent="0.25">
      <c r="A91" s="2">
        <f t="shared" si="23"/>
        <v>87</v>
      </c>
      <c r="B91" s="44" t="str">
        <f t="shared" si="25"/>
        <v>KS</v>
      </c>
      <c r="C91" s="44" t="str">
        <f t="shared" si="26"/>
        <v>10C</v>
      </c>
      <c r="D91" s="44" t="str">
        <f t="shared" si="27"/>
        <v>JC</v>
      </c>
      <c r="E91" s="44" t="str">
        <f t="shared" si="28"/>
        <v>QC</v>
      </c>
      <c r="F91" s="44" t="str">
        <f t="shared" si="29"/>
        <v>9D</v>
      </c>
      <c r="I91" s="45">
        <f t="shared" si="40"/>
        <v>5</v>
      </c>
      <c r="J91" s="45">
        <f t="shared" si="41"/>
        <v>1</v>
      </c>
      <c r="K91" s="45">
        <f t="shared" si="42"/>
        <v>5</v>
      </c>
      <c r="L91" s="45">
        <f t="shared" si="43"/>
        <v>4</v>
      </c>
      <c r="M91" s="1" t="str">
        <f t="shared" si="24"/>
        <v/>
      </c>
      <c r="O91" s="44" t="str">
        <f t="shared" si="30"/>
        <v>2H</v>
      </c>
      <c r="P91" s="44" t="str">
        <f t="shared" si="31"/>
        <v>3H</v>
      </c>
      <c r="Q91" s="44" t="str">
        <f t="shared" si="32"/>
        <v>AH</v>
      </c>
      <c r="R91" s="44" t="str">
        <f t="shared" si="33"/>
        <v>3S</v>
      </c>
      <c r="S91" s="44" t="str">
        <f t="shared" si="34"/>
        <v>3C</v>
      </c>
      <c r="T91" s="7"/>
      <c r="U91" s="13">
        <v>1</v>
      </c>
      <c r="V91" s="13">
        <v>1</v>
      </c>
      <c r="W91" s="7"/>
      <c r="X91" s="1">
        <f t="shared" si="35"/>
        <v>0</v>
      </c>
      <c r="Y91" s="1">
        <f t="shared" si="36"/>
        <v>1</v>
      </c>
      <c r="Z91" s="1" t="b">
        <f t="shared" si="37"/>
        <v>0</v>
      </c>
      <c r="AA91" s="1" t="str">
        <f t="shared" si="38"/>
        <v>5</v>
      </c>
      <c r="AB91" s="1" t="str">
        <f t="shared" si="39"/>
        <v>Wrong</v>
      </c>
    </row>
    <row r="92" spans="1:28" x14ac:dyDescent="0.25">
      <c r="A92" s="2">
        <f t="shared" si="23"/>
        <v>88</v>
      </c>
      <c r="B92" s="44" t="str">
        <f t="shared" si="25"/>
        <v>5D</v>
      </c>
      <c r="C92" s="44" t="str">
        <f t="shared" si="26"/>
        <v>AC</v>
      </c>
      <c r="D92" s="44" t="str">
        <f t="shared" si="27"/>
        <v>3C</v>
      </c>
      <c r="E92" s="44" t="str">
        <f t="shared" si="28"/>
        <v>4H</v>
      </c>
      <c r="F92" s="44" t="str">
        <f t="shared" si="29"/>
        <v>2S</v>
      </c>
      <c r="I92" s="45">
        <f t="shared" si="40"/>
        <v>5</v>
      </c>
      <c r="J92" s="45">
        <f t="shared" si="41"/>
        <v>1</v>
      </c>
      <c r="K92" s="45">
        <f t="shared" si="42"/>
        <v>5</v>
      </c>
      <c r="L92" s="45">
        <f t="shared" si="43"/>
        <v>3</v>
      </c>
      <c r="M92" s="1" t="str">
        <f t="shared" si="24"/>
        <v/>
      </c>
      <c r="O92" s="44" t="str">
        <f t="shared" si="30"/>
        <v>JC</v>
      </c>
      <c r="P92" s="44" t="str">
        <f t="shared" si="31"/>
        <v>4D</v>
      </c>
      <c r="Q92" s="44" t="str">
        <f t="shared" si="32"/>
        <v>QH</v>
      </c>
      <c r="R92" s="44" t="str">
        <f t="shared" si="33"/>
        <v>JD</v>
      </c>
      <c r="S92" s="44" t="str">
        <f t="shared" si="34"/>
        <v>4C</v>
      </c>
      <c r="T92" s="7"/>
      <c r="U92" s="13">
        <v>1</v>
      </c>
      <c r="V92" s="13">
        <v>1</v>
      </c>
      <c r="W92" s="7"/>
      <c r="X92" s="1">
        <f t="shared" si="35"/>
        <v>0</v>
      </c>
      <c r="Y92" s="1">
        <f t="shared" si="36"/>
        <v>1</v>
      </c>
      <c r="Z92" s="1" t="b">
        <f t="shared" si="37"/>
        <v>0</v>
      </c>
      <c r="AA92" s="1" t="str">
        <f t="shared" si="38"/>
        <v>5</v>
      </c>
      <c r="AB92" s="1" t="str">
        <f t="shared" si="39"/>
        <v>Wrong</v>
      </c>
    </row>
    <row r="93" spans="1:28" x14ac:dyDescent="0.25">
      <c r="A93" s="2">
        <f t="shared" si="23"/>
        <v>89</v>
      </c>
      <c r="B93" s="44" t="str">
        <f t="shared" si="25"/>
        <v>2H</v>
      </c>
      <c r="C93" s="44" t="str">
        <f t="shared" si="26"/>
        <v>4H</v>
      </c>
      <c r="D93" s="44" t="str">
        <f t="shared" si="27"/>
        <v>6D</v>
      </c>
      <c r="E93" s="44" t="str">
        <f t="shared" si="28"/>
        <v>7C</v>
      </c>
      <c r="F93" s="44" t="str">
        <f t="shared" si="29"/>
        <v>AC</v>
      </c>
      <c r="I93" s="45">
        <f t="shared" si="40"/>
        <v>4</v>
      </c>
      <c r="J93" s="45">
        <f t="shared" si="41"/>
        <v>2</v>
      </c>
      <c r="K93" s="45">
        <f t="shared" si="42"/>
        <v>1</v>
      </c>
      <c r="L93" s="45">
        <f t="shared" si="43"/>
        <v>4</v>
      </c>
      <c r="M93" s="1" t="str">
        <f t="shared" si="24"/>
        <v/>
      </c>
      <c r="O93" s="44" t="str">
        <f t="shared" si="30"/>
        <v>5C</v>
      </c>
      <c r="P93" s="44" t="str">
        <f t="shared" si="31"/>
        <v>5S</v>
      </c>
      <c r="Q93" s="44" t="str">
        <f t="shared" si="32"/>
        <v>8C</v>
      </c>
      <c r="R93" s="44" t="str">
        <f t="shared" si="33"/>
        <v>5D</v>
      </c>
      <c r="S93" s="44" t="str">
        <f t="shared" si="34"/>
        <v>QS</v>
      </c>
      <c r="T93" s="7"/>
      <c r="U93" s="13">
        <v>1</v>
      </c>
      <c r="V93" s="13">
        <v>1</v>
      </c>
      <c r="W93" s="7"/>
      <c r="X93" s="1">
        <f t="shared" si="35"/>
        <v>0</v>
      </c>
      <c r="Y93" s="1">
        <f t="shared" si="36"/>
        <v>0</v>
      </c>
      <c r="Z93" s="1" t="b">
        <f t="shared" si="37"/>
        <v>0</v>
      </c>
      <c r="AA93" s="1" t="str">
        <f t="shared" si="38"/>
        <v>4</v>
      </c>
      <c r="AB93" s="1" t="str">
        <f t="shared" si="39"/>
        <v>Wrong</v>
      </c>
    </row>
    <row r="94" spans="1:28" x14ac:dyDescent="0.25">
      <c r="A94" s="2">
        <f t="shared" si="23"/>
        <v>90</v>
      </c>
      <c r="B94" s="44" t="str">
        <f t="shared" si="25"/>
        <v>9H</v>
      </c>
      <c r="C94" s="44" t="str">
        <f t="shared" si="26"/>
        <v>6D</v>
      </c>
      <c r="D94" s="44" t="str">
        <f t="shared" si="27"/>
        <v>9S</v>
      </c>
      <c r="E94" s="44" t="str">
        <f t="shared" si="28"/>
        <v>5D</v>
      </c>
      <c r="F94" s="44" t="str">
        <f t="shared" si="29"/>
        <v>5S</v>
      </c>
      <c r="I94" s="45">
        <f t="shared" si="40"/>
        <v>4</v>
      </c>
      <c r="J94" s="45">
        <f t="shared" si="41"/>
        <v>2</v>
      </c>
      <c r="K94" s="45">
        <f t="shared" si="42"/>
        <v>3</v>
      </c>
      <c r="L94" s="45">
        <f t="shared" si="43"/>
        <v>4</v>
      </c>
      <c r="M94" s="1" t="str">
        <f t="shared" si="24"/>
        <v/>
      </c>
      <c r="O94" s="44" t="str">
        <f t="shared" si="30"/>
        <v>2C</v>
      </c>
      <c r="P94" s="44" t="str">
        <f t="shared" si="31"/>
        <v>KC</v>
      </c>
      <c r="Q94" s="44" t="str">
        <f t="shared" si="32"/>
        <v>2S</v>
      </c>
      <c r="R94" s="44" t="str">
        <f t="shared" si="33"/>
        <v>2D</v>
      </c>
      <c r="S94" s="44" t="str">
        <f t="shared" si="34"/>
        <v>5C</v>
      </c>
      <c r="T94" s="7"/>
      <c r="U94" s="13">
        <v>1</v>
      </c>
      <c r="V94" s="13">
        <v>1</v>
      </c>
      <c r="W94" s="7"/>
      <c r="X94" s="1">
        <f t="shared" si="35"/>
        <v>0</v>
      </c>
      <c r="Y94" s="1">
        <f t="shared" si="36"/>
        <v>0</v>
      </c>
      <c r="Z94" s="1" t="b">
        <f t="shared" si="37"/>
        <v>0</v>
      </c>
      <c r="AA94" s="1" t="str">
        <f t="shared" si="38"/>
        <v>4</v>
      </c>
      <c r="AB94" s="1" t="str">
        <f t="shared" si="39"/>
        <v>Wrong</v>
      </c>
    </row>
    <row r="95" spans="1:28" x14ac:dyDescent="0.25">
      <c r="A95" s="2">
        <f t="shared" si="23"/>
        <v>91</v>
      </c>
      <c r="B95" s="44" t="str">
        <f t="shared" si="25"/>
        <v>KC</v>
      </c>
      <c r="C95" s="44" t="str">
        <f t="shared" si="26"/>
        <v>3H</v>
      </c>
      <c r="D95" s="44" t="str">
        <f t="shared" si="27"/>
        <v>KH</v>
      </c>
      <c r="E95" s="44" t="str">
        <f t="shared" si="28"/>
        <v>7D</v>
      </c>
      <c r="F95" s="44" t="str">
        <f t="shared" si="29"/>
        <v>10H</v>
      </c>
      <c r="I95" s="45">
        <f t="shared" si="40"/>
        <v>4</v>
      </c>
      <c r="J95" s="45">
        <f t="shared" si="41"/>
        <v>2</v>
      </c>
      <c r="K95" s="45">
        <f t="shared" si="42"/>
        <v>2</v>
      </c>
      <c r="L95" s="45">
        <f t="shared" si="43"/>
        <v>4</v>
      </c>
      <c r="M95" s="1" t="str">
        <f t="shared" si="24"/>
        <v/>
      </c>
      <c r="O95" s="44" t="str">
        <f t="shared" si="30"/>
        <v>AD</v>
      </c>
      <c r="P95" s="44" t="str">
        <f t="shared" si="31"/>
        <v>AC</v>
      </c>
      <c r="Q95" s="44" t="str">
        <f t="shared" si="32"/>
        <v>QC</v>
      </c>
      <c r="R95" s="44" t="str">
        <f t="shared" si="33"/>
        <v>9C</v>
      </c>
      <c r="S95" s="44" t="str">
        <f t="shared" si="34"/>
        <v>AS</v>
      </c>
      <c r="T95" s="7"/>
      <c r="U95" s="13">
        <v>1</v>
      </c>
      <c r="V95" s="13">
        <v>1</v>
      </c>
      <c r="W95" s="7"/>
      <c r="X95" s="1">
        <f t="shared" si="35"/>
        <v>0</v>
      </c>
      <c r="Y95" s="1">
        <f t="shared" si="36"/>
        <v>0</v>
      </c>
      <c r="Z95" s="1" t="b">
        <f t="shared" si="37"/>
        <v>0</v>
      </c>
      <c r="AA95" s="1" t="str">
        <f t="shared" si="38"/>
        <v>4</v>
      </c>
      <c r="AB95" s="1" t="str">
        <f t="shared" si="39"/>
        <v>Wrong</v>
      </c>
    </row>
    <row r="96" spans="1:28" x14ac:dyDescent="0.25">
      <c r="A96" s="2">
        <f t="shared" si="23"/>
        <v>92</v>
      </c>
      <c r="B96" s="44" t="str">
        <f t="shared" si="25"/>
        <v>QS</v>
      </c>
      <c r="C96" s="44" t="str">
        <f t="shared" si="26"/>
        <v>AS</v>
      </c>
      <c r="D96" s="44" t="str">
        <f t="shared" si="27"/>
        <v>5S</v>
      </c>
      <c r="E96" s="44" t="str">
        <f t="shared" si="28"/>
        <v>3D</v>
      </c>
      <c r="F96" s="44" t="str">
        <f t="shared" si="29"/>
        <v>7S</v>
      </c>
      <c r="I96" s="45">
        <f t="shared" si="40"/>
        <v>4</v>
      </c>
      <c r="J96" s="45">
        <f t="shared" si="41"/>
        <v>2</v>
      </c>
      <c r="K96" s="45">
        <f t="shared" si="42"/>
        <v>1</v>
      </c>
      <c r="L96" s="45">
        <f t="shared" si="43"/>
        <v>4</v>
      </c>
      <c r="M96" s="1" t="str">
        <f t="shared" si="24"/>
        <v/>
      </c>
      <c r="O96" s="44" t="str">
        <f t="shared" si="30"/>
        <v>5C</v>
      </c>
      <c r="P96" s="44" t="str">
        <f t="shared" si="31"/>
        <v>JH</v>
      </c>
      <c r="Q96" s="44" t="str">
        <f t="shared" si="32"/>
        <v>JD</v>
      </c>
      <c r="R96" s="44" t="str">
        <f t="shared" si="33"/>
        <v>JS</v>
      </c>
      <c r="S96" s="44" t="str">
        <f t="shared" si="34"/>
        <v>KS</v>
      </c>
      <c r="T96" s="7"/>
      <c r="U96" s="13">
        <v>1</v>
      </c>
      <c r="V96" s="13">
        <v>1</v>
      </c>
      <c r="W96" s="7"/>
      <c r="X96" s="1">
        <f t="shared" si="35"/>
        <v>0</v>
      </c>
      <c r="Y96" s="1">
        <f t="shared" si="36"/>
        <v>0</v>
      </c>
      <c r="Z96" s="1" t="b">
        <f t="shared" si="37"/>
        <v>0</v>
      </c>
      <c r="AA96" s="1" t="str">
        <f t="shared" si="38"/>
        <v>4</v>
      </c>
      <c r="AB96" s="1" t="str">
        <f t="shared" si="39"/>
        <v>Wrong</v>
      </c>
    </row>
    <row r="97" spans="1:28" x14ac:dyDescent="0.25">
      <c r="A97" s="2">
        <f t="shared" si="23"/>
        <v>93</v>
      </c>
      <c r="B97" s="44" t="str">
        <f t="shared" si="25"/>
        <v>6S</v>
      </c>
      <c r="C97" s="44" t="str">
        <f t="shared" si="26"/>
        <v>4D</v>
      </c>
      <c r="D97" s="44" t="str">
        <f t="shared" si="27"/>
        <v>3S</v>
      </c>
      <c r="E97" s="44" t="str">
        <f t="shared" si="28"/>
        <v>6D</v>
      </c>
      <c r="F97" s="44" t="str">
        <f t="shared" si="29"/>
        <v>KD</v>
      </c>
      <c r="I97" s="45">
        <f t="shared" si="40"/>
        <v>4</v>
      </c>
      <c r="J97" s="45">
        <f t="shared" si="41"/>
        <v>2</v>
      </c>
      <c r="K97" s="45">
        <f t="shared" si="42"/>
        <v>2</v>
      </c>
      <c r="L97" s="45">
        <f t="shared" si="43"/>
        <v>4</v>
      </c>
      <c r="M97" s="1" t="str">
        <f t="shared" si="24"/>
        <v/>
      </c>
      <c r="O97" s="44" t="str">
        <f t="shared" si="30"/>
        <v>8S</v>
      </c>
      <c r="P97" s="44" t="str">
        <f t="shared" si="31"/>
        <v>KS</v>
      </c>
      <c r="Q97" s="44" t="str">
        <f t="shared" si="32"/>
        <v>8D</v>
      </c>
      <c r="R97" s="44" t="str">
        <f t="shared" si="33"/>
        <v>8H</v>
      </c>
      <c r="S97" s="44" t="str">
        <f t="shared" si="34"/>
        <v>9C</v>
      </c>
      <c r="T97" s="7"/>
      <c r="U97" s="13">
        <v>1</v>
      </c>
      <c r="V97" s="13">
        <v>1</v>
      </c>
      <c r="W97" s="7"/>
      <c r="X97" s="1">
        <f t="shared" si="35"/>
        <v>0</v>
      </c>
      <c r="Y97" s="1">
        <f t="shared" si="36"/>
        <v>0</v>
      </c>
      <c r="Z97" s="1" t="b">
        <f t="shared" si="37"/>
        <v>0</v>
      </c>
      <c r="AA97" s="1" t="str">
        <f t="shared" si="38"/>
        <v>4</v>
      </c>
      <c r="AB97" s="1" t="str">
        <f t="shared" si="39"/>
        <v>Wrong</v>
      </c>
    </row>
    <row r="98" spans="1:28" x14ac:dyDescent="0.25">
      <c r="A98" s="2">
        <f t="shared" si="23"/>
        <v>94</v>
      </c>
      <c r="B98" s="44" t="str">
        <f t="shared" si="25"/>
        <v>10C</v>
      </c>
      <c r="C98" s="44" t="str">
        <f t="shared" si="26"/>
        <v>10D</v>
      </c>
      <c r="D98" s="44" t="str">
        <f t="shared" si="27"/>
        <v>AD</v>
      </c>
      <c r="E98" s="44" t="str">
        <f t="shared" si="28"/>
        <v>3H</v>
      </c>
      <c r="F98" s="44" t="str">
        <f t="shared" si="29"/>
        <v>QD</v>
      </c>
      <c r="I98" s="45">
        <f t="shared" si="40"/>
        <v>4</v>
      </c>
      <c r="J98" s="45">
        <f t="shared" si="41"/>
        <v>2</v>
      </c>
      <c r="K98" s="45">
        <f t="shared" si="42"/>
        <v>2</v>
      </c>
      <c r="L98" s="45">
        <f t="shared" si="43"/>
        <v>4</v>
      </c>
      <c r="M98" s="1" t="str">
        <f t="shared" si="24"/>
        <v/>
      </c>
      <c r="O98" s="44" t="str">
        <f t="shared" si="30"/>
        <v>7D</v>
      </c>
      <c r="P98" s="44" t="str">
        <f t="shared" si="31"/>
        <v>KS</v>
      </c>
      <c r="Q98" s="44" t="str">
        <f t="shared" si="32"/>
        <v>7S</v>
      </c>
      <c r="R98" s="44" t="str">
        <f t="shared" si="33"/>
        <v>7H</v>
      </c>
      <c r="S98" s="44" t="str">
        <f t="shared" si="34"/>
        <v>6D</v>
      </c>
      <c r="T98" s="7"/>
      <c r="U98" s="13">
        <v>1</v>
      </c>
      <c r="V98" s="13">
        <v>1</v>
      </c>
      <c r="W98" s="7"/>
      <c r="X98" s="1">
        <f t="shared" si="35"/>
        <v>0</v>
      </c>
      <c r="Y98" s="1">
        <f t="shared" si="36"/>
        <v>0</v>
      </c>
      <c r="Z98" s="1" t="b">
        <f t="shared" si="37"/>
        <v>0</v>
      </c>
      <c r="AA98" s="1" t="str">
        <f t="shared" si="38"/>
        <v>4</v>
      </c>
      <c r="AB98" s="1" t="str">
        <f t="shared" si="39"/>
        <v>Wrong</v>
      </c>
    </row>
    <row r="99" spans="1:28" x14ac:dyDescent="0.25">
      <c r="A99" s="2">
        <f t="shared" si="23"/>
        <v>95</v>
      </c>
      <c r="B99" s="44" t="str">
        <f t="shared" si="25"/>
        <v>5D</v>
      </c>
      <c r="C99" s="44" t="str">
        <f t="shared" si="26"/>
        <v>AH</v>
      </c>
      <c r="D99" s="44" t="str">
        <f t="shared" si="27"/>
        <v>4D</v>
      </c>
      <c r="E99" s="44" t="str">
        <f t="shared" si="28"/>
        <v>10D</v>
      </c>
      <c r="F99" s="44" t="str">
        <f t="shared" si="29"/>
        <v>6H</v>
      </c>
      <c r="I99" s="45">
        <f t="shared" si="40"/>
        <v>4</v>
      </c>
      <c r="J99" s="45">
        <f t="shared" si="41"/>
        <v>2</v>
      </c>
      <c r="K99" s="45">
        <f t="shared" si="42"/>
        <v>1</v>
      </c>
      <c r="L99" s="45">
        <f t="shared" si="43"/>
        <v>4</v>
      </c>
      <c r="M99" s="1" t="str">
        <f t="shared" si="24"/>
        <v/>
      </c>
      <c r="O99" s="44" t="str">
        <f t="shared" si="30"/>
        <v>5H</v>
      </c>
      <c r="P99" s="44" t="str">
        <f t="shared" si="31"/>
        <v>6C</v>
      </c>
      <c r="Q99" s="44" t="str">
        <f t="shared" si="32"/>
        <v>JH</v>
      </c>
      <c r="R99" s="44" t="str">
        <f t="shared" si="33"/>
        <v>6S</v>
      </c>
      <c r="S99" s="44" t="str">
        <f t="shared" si="34"/>
        <v>6D</v>
      </c>
      <c r="T99" s="7"/>
      <c r="U99" s="13">
        <v>1</v>
      </c>
      <c r="V99" s="13">
        <v>1</v>
      </c>
      <c r="W99" s="7"/>
      <c r="X99" s="1">
        <f t="shared" si="35"/>
        <v>0</v>
      </c>
      <c r="Y99" s="1">
        <f t="shared" si="36"/>
        <v>0</v>
      </c>
      <c r="Z99" s="1" t="b">
        <f t="shared" si="37"/>
        <v>0</v>
      </c>
      <c r="AA99" s="1" t="str">
        <f t="shared" si="38"/>
        <v>4</v>
      </c>
      <c r="AB99" s="1" t="str">
        <f t="shared" si="39"/>
        <v>Wrong</v>
      </c>
    </row>
    <row r="100" spans="1:28" x14ac:dyDescent="0.25">
      <c r="A100" s="2">
        <f t="shared" si="23"/>
        <v>96</v>
      </c>
      <c r="B100" s="44" t="str">
        <f t="shared" si="25"/>
        <v>QD</v>
      </c>
      <c r="C100" s="44" t="str">
        <f t="shared" si="26"/>
        <v>8C</v>
      </c>
      <c r="D100" s="44" t="str">
        <f t="shared" si="27"/>
        <v>10S</v>
      </c>
      <c r="E100" s="44" t="str">
        <f t="shared" si="28"/>
        <v>QH</v>
      </c>
      <c r="F100" s="44" t="str">
        <f t="shared" si="29"/>
        <v>QC</v>
      </c>
      <c r="I100" s="45">
        <f t="shared" si="40"/>
        <v>4</v>
      </c>
      <c r="J100" s="45">
        <f t="shared" si="41"/>
        <v>1</v>
      </c>
      <c r="K100" s="45">
        <f t="shared" si="42"/>
        <v>4</v>
      </c>
      <c r="L100" s="45">
        <f t="shared" si="43"/>
        <v>3</v>
      </c>
      <c r="M100" s="1" t="str">
        <f t="shared" si="24"/>
        <v/>
      </c>
      <c r="O100" s="44" t="str">
        <f t="shared" si="30"/>
        <v>JD</v>
      </c>
      <c r="P100" s="44" t="str">
        <f t="shared" si="31"/>
        <v>JS</v>
      </c>
      <c r="Q100" s="44" t="str">
        <f t="shared" si="32"/>
        <v>AD</v>
      </c>
      <c r="R100" s="44" t="str">
        <f t="shared" si="33"/>
        <v>3D</v>
      </c>
      <c r="S100" s="44" t="str">
        <f t="shared" si="34"/>
        <v>AS</v>
      </c>
      <c r="T100" s="7"/>
      <c r="U100" s="13">
        <v>1</v>
      </c>
      <c r="V100" s="13">
        <v>1</v>
      </c>
      <c r="W100" s="7"/>
      <c r="X100" s="1">
        <f t="shared" si="35"/>
        <v>0</v>
      </c>
      <c r="Y100" s="1">
        <f t="shared" si="36"/>
        <v>1</v>
      </c>
      <c r="Z100" s="1" t="b">
        <f t="shared" si="37"/>
        <v>0</v>
      </c>
      <c r="AA100" s="1" t="str">
        <f t="shared" si="38"/>
        <v>4</v>
      </c>
      <c r="AB100" s="1" t="str">
        <f t="shared" si="39"/>
        <v>Wrong</v>
      </c>
    </row>
    <row r="101" spans="1:28" x14ac:dyDescent="0.25">
      <c r="A101" s="2">
        <f t="shared" si="23"/>
        <v>97</v>
      </c>
      <c r="B101" s="44" t="str">
        <f t="shared" si="25"/>
        <v>6D</v>
      </c>
      <c r="C101" s="44" t="str">
        <f t="shared" si="26"/>
        <v>9S</v>
      </c>
      <c r="D101" s="44" t="str">
        <f t="shared" si="27"/>
        <v>9C</v>
      </c>
      <c r="E101" s="44" t="str">
        <f t="shared" si="28"/>
        <v>8D</v>
      </c>
      <c r="F101" s="44" t="str">
        <f t="shared" si="29"/>
        <v>5H</v>
      </c>
      <c r="I101" s="45">
        <f t="shared" si="40"/>
        <v>3</v>
      </c>
      <c r="J101" s="45">
        <f t="shared" si="41"/>
        <v>2</v>
      </c>
      <c r="K101" s="45">
        <f t="shared" si="42"/>
        <v>2</v>
      </c>
      <c r="L101" s="45">
        <f t="shared" si="43"/>
        <v>3</v>
      </c>
      <c r="M101" s="1" t="str">
        <f t="shared" si="24"/>
        <v/>
      </c>
      <c r="O101" s="44" t="str">
        <f t="shared" si="30"/>
        <v>3C</v>
      </c>
      <c r="P101" s="44" t="str">
        <f t="shared" si="31"/>
        <v>4C</v>
      </c>
      <c r="Q101" s="44" t="str">
        <f t="shared" si="32"/>
        <v>3D</v>
      </c>
      <c r="R101" s="44" t="str">
        <f t="shared" si="33"/>
        <v>AD</v>
      </c>
      <c r="S101" s="44" t="str">
        <f t="shared" si="34"/>
        <v>AC</v>
      </c>
      <c r="T101" s="7"/>
      <c r="U101" s="13">
        <v>1</v>
      </c>
      <c r="V101" s="13">
        <v>1</v>
      </c>
      <c r="W101" s="7"/>
      <c r="X101" s="1">
        <f t="shared" si="35"/>
        <v>0</v>
      </c>
      <c r="Y101" s="1">
        <f t="shared" si="36"/>
        <v>0</v>
      </c>
      <c r="Z101" s="1" t="b">
        <f t="shared" si="37"/>
        <v>0</v>
      </c>
      <c r="AA101" s="1" t="str">
        <f t="shared" si="38"/>
        <v>3</v>
      </c>
      <c r="AB101" s="1" t="str">
        <f t="shared" si="39"/>
        <v>Wrong</v>
      </c>
    </row>
    <row r="102" spans="1:28" x14ac:dyDescent="0.25">
      <c r="A102" s="2">
        <f t="shared" si="23"/>
        <v>98</v>
      </c>
      <c r="B102" s="44" t="str">
        <f t="shared" si="25"/>
        <v>JD</v>
      </c>
      <c r="C102" s="44" t="str">
        <f t="shared" si="26"/>
        <v>2S</v>
      </c>
      <c r="D102" s="44" t="str">
        <f t="shared" si="27"/>
        <v>6H</v>
      </c>
      <c r="E102" s="44" t="str">
        <f t="shared" si="28"/>
        <v>3D</v>
      </c>
      <c r="F102" s="44" t="str">
        <f t="shared" si="29"/>
        <v>5S</v>
      </c>
      <c r="I102" s="45">
        <f t="shared" si="40"/>
        <v>3</v>
      </c>
      <c r="J102" s="45">
        <f t="shared" si="41"/>
        <v>2</v>
      </c>
      <c r="K102" s="45">
        <f t="shared" si="42"/>
        <v>1</v>
      </c>
      <c r="L102" s="45">
        <f t="shared" si="43"/>
        <v>3</v>
      </c>
      <c r="M102" s="1" t="str">
        <f t="shared" si="24"/>
        <v/>
      </c>
      <c r="O102" s="44" t="str">
        <f t="shared" si="30"/>
        <v>5H</v>
      </c>
      <c r="P102" s="44" t="str">
        <f t="shared" si="31"/>
        <v>5D</v>
      </c>
      <c r="Q102" s="44" t="str">
        <f t="shared" si="32"/>
        <v>6D</v>
      </c>
      <c r="R102" s="44" t="str">
        <f t="shared" si="33"/>
        <v>KD</v>
      </c>
      <c r="S102" s="44" t="str">
        <f t="shared" si="34"/>
        <v>KC</v>
      </c>
      <c r="T102" s="7"/>
      <c r="U102" s="13">
        <v>1</v>
      </c>
      <c r="V102" s="13">
        <v>1</v>
      </c>
      <c r="W102" s="7"/>
      <c r="X102" s="1">
        <f t="shared" si="35"/>
        <v>0</v>
      </c>
      <c r="Y102" s="1">
        <f t="shared" si="36"/>
        <v>0</v>
      </c>
      <c r="Z102" s="1" t="b">
        <f t="shared" si="37"/>
        <v>0</v>
      </c>
      <c r="AA102" s="1" t="str">
        <f t="shared" si="38"/>
        <v>3</v>
      </c>
      <c r="AB102" s="1" t="str">
        <f t="shared" si="39"/>
        <v>Wrong</v>
      </c>
    </row>
    <row r="103" spans="1:28" x14ac:dyDescent="0.25">
      <c r="A103" s="2">
        <f t="shared" si="23"/>
        <v>99</v>
      </c>
      <c r="B103" s="44" t="str">
        <f t="shared" si="25"/>
        <v>9S</v>
      </c>
      <c r="C103" s="44" t="str">
        <f t="shared" si="26"/>
        <v>7D</v>
      </c>
      <c r="D103" s="44" t="str">
        <f t="shared" si="27"/>
        <v>JH</v>
      </c>
      <c r="E103" s="44" t="str">
        <f t="shared" si="28"/>
        <v>JC</v>
      </c>
      <c r="F103" s="44" t="str">
        <f t="shared" si="29"/>
        <v>2C</v>
      </c>
      <c r="I103" s="45">
        <f t="shared" si="40"/>
        <v>3</v>
      </c>
      <c r="J103" s="45">
        <f t="shared" si="41"/>
        <v>2</v>
      </c>
      <c r="K103" s="45">
        <f t="shared" si="42"/>
        <v>2</v>
      </c>
      <c r="L103" s="45">
        <f t="shared" si="43"/>
        <v>3</v>
      </c>
      <c r="M103" s="1" t="str">
        <f t="shared" si="24"/>
        <v/>
      </c>
      <c r="O103" s="44" t="str">
        <f t="shared" si="30"/>
        <v>AD</v>
      </c>
      <c r="P103" s="44" t="str">
        <f t="shared" si="31"/>
        <v>5C</v>
      </c>
      <c r="Q103" s="44" t="str">
        <f t="shared" si="32"/>
        <v>AH</v>
      </c>
      <c r="R103" s="44" t="str">
        <f t="shared" si="33"/>
        <v>KD</v>
      </c>
      <c r="S103" s="44" t="str">
        <f t="shared" si="34"/>
        <v>KS</v>
      </c>
      <c r="T103" s="7"/>
      <c r="U103" s="13">
        <v>1</v>
      </c>
      <c r="V103" s="13">
        <v>1</v>
      </c>
      <c r="W103" s="7"/>
      <c r="X103" s="1">
        <f t="shared" si="35"/>
        <v>0</v>
      </c>
      <c r="Y103" s="1">
        <f t="shared" si="36"/>
        <v>0</v>
      </c>
      <c r="Z103" s="1" t="b">
        <f t="shared" si="37"/>
        <v>0</v>
      </c>
      <c r="AA103" s="1" t="str">
        <f t="shared" si="38"/>
        <v>3</v>
      </c>
      <c r="AB103" s="1" t="str">
        <f t="shared" si="39"/>
        <v>Wrong</v>
      </c>
    </row>
    <row r="104" spans="1:28" x14ac:dyDescent="0.25">
      <c r="A104" s="2">
        <f t="shared" si="23"/>
        <v>100</v>
      </c>
      <c r="B104" s="44" t="str">
        <f t="shared" si="25"/>
        <v>6S</v>
      </c>
      <c r="C104" s="44" t="str">
        <f t="shared" si="26"/>
        <v>6C</v>
      </c>
      <c r="D104" s="44" t="str">
        <f t="shared" si="27"/>
        <v>2S</v>
      </c>
      <c r="E104" s="44" t="str">
        <f t="shared" si="28"/>
        <v>2C</v>
      </c>
      <c r="F104" s="44" t="str">
        <f t="shared" si="29"/>
        <v>10D</v>
      </c>
      <c r="I104" s="45">
        <f t="shared" si="40"/>
        <v>3</v>
      </c>
      <c r="J104" s="45">
        <f t="shared" si="41"/>
        <v>1</v>
      </c>
      <c r="K104" s="45">
        <f t="shared" si="42"/>
        <v>3</v>
      </c>
      <c r="L104" s="45">
        <f t="shared" si="43"/>
        <v>1</v>
      </c>
      <c r="M104" s="1" t="str">
        <f t="shared" si="24"/>
        <v/>
      </c>
      <c r="O104" s="44" t="str">
        <f t="shared" si="30"/>
        <v>8H</v>
      </c>
      <c r="P104" s="44" t="str">
        <f t="shared" si="31"/>
        <v>4C</v>
      </c>
      <c r="Q104" s="44" t="str">
        <f t="shared" si="32"/>
        <v>9H</v>
      </c>
      <c r="R104" s="44" t="str">
        <f t="shared" si="33"/>
        <v>JH</v>
      </c>
      <c r="S104" s="44" t="str">
        <f t="shared" si="34"/>
        <v>7H</v>
      </c>
      <c r="T104" s="7"/>
      <c r="U104" s="13">
        <v>1</v>
      </c>
      <c r="V104" s="13">
        <v>1</v>
      </c>
      <c r="W104" s="7"/>
      <c r="X104" s="1">
        <f t="shared" si="35"/>
        <v>0</v>
      </c>
      <c r="Y104" s="1">
        <f t="shared" si="36"/>
        <v>1</v>
      </c>
      <c r="Z104" s="1" t="b">
        <f t="shared" si="37"/>
        <v>0</v>
      </c>
      <c r="AA104" s="1" t="str">
        <f t="shared" si="38"/>
        <v>3</v>
      </c>
      <c r="AB104" s="1" t="str">
        <f t="shared" si="39"/>
        <v>Wrong</v>
      </c>
    </row>
    <row r="105" spans="1:28" x14ac:dyDescent="0.25">
      <c r="A105" s="2">
        <f t="shared" si="23"/>
        <v>101</v>
      </c>
      <c r="B105" s="44" t="str">
        <f t="shared" si="25"/>
        <v>10S</v>
      </c>
      <c r="C105" s="44" t="str">
        <f t="shared" si="26"/>
        <v>JC</v>
      </c>
      <c r="D105" s="44" t="str">
        <f t="shared" si="27"/>
        <v>KS</v>
      </c>
      <c r="E105" s="44" t="str">
        <f t="shared" si="28"/>
        <v>2C</v>
      </c>
      <c r="F105" s="44" t="str">
        <f t="shared" si="29"/>
        <v>3S</v>
      </c>
      <c r="I105" s="45">
        <f t="shared" si="40"/>
        <v>2</v>
      </c>
      <c r="J105" s="45">
        <f t="shared" si="41"/>
        <v>2</v>
      </c>
      <c r="K105" s="45">
        <f t="shared" si="42"/>
        <v>1</v>
      </c>
      <c r="L105" s="45">
        <f t="shared" si="43"/>
        <v>2</v>
      </c>
      <c r="M105" s="1" t="str">
        <f t="shared" si="24"/>
        <v/>
      </c>
      <c r="O105" s="44" t="str">
        <f t="shared" si="30"/>
        <v>8H</v>
      </c>
      <c r="P105" s="44" t="str">
        <f t="shared" si="31"/>
        <v>4H</v>
      </c>
      <c r="Q105" s="44" t="str">
        <f t="shared" si="32"/>
        <v>7C</v>
      </c>
      <c r="R105" s="44" t="str">
        <f t="shared" si="33"/>
        <v>5H</v>
      </c>
      <c r="S105" s="44" t="str">
        <f t="shared" si="34"/>
        <v>8C</v>
      </c>
      <c r="T105" s="7"/>
      <c r="U105" s="13">
        <v>1</v>
      </c>
      <c r="V105" s="13">
        <v>1</v>
      </c>
      <c r="W105" s="7"/>
      <c r="X105" s="1">
        <f t="shared" si="35"/>
        <v>0</v>
      </c>
      <c r="Y105" s="1">
        <f t="shared" si="36"/>
        <v>0</v>
      </c>
      <c r="Z105" s="1" t="b">
        <f t="shared" si="37"/>
        <v>0</v>
      </c>
      <c r="AA105" s="1" t="str">
        <f t="shared" si="38"/>
        <v>2</v>
      </c>
      <c r="AB105" s="1" t="str">
        <f t="shared" si="39"/>
        <v>Wrong</v>
      </c>
    </row>
    <row r="106" spans="1:28" x14ac:dyDescent="0.25">
      <c r="A106" s="2">
        <f t="shared" si="23"/>
        <v>102</v>
      </c>
      <c r="B106" s="44" t="str">
        <f t="shared" si="25"/>
        <v>10C</v>
      </c>
      <c r="C106" s="44" t="str">
        <f t="shared" si="26"/>
        <v>7D</v>
      </c>
      <c r="D106" s="44" t="str">
        <f t="shared" si="27"/>
        <v>9S</v>
      </c>
      <c r="E106" s="44" t="str">
        <f t="shared" si="28"/>
        <v>6S</v>
      </c>
      <c r="F106" s="44" t="str">
        <f t="shared" si="29"/>
        <v>KD</v>
      </c>
      <c r="I106" s="45">
        <f t="shared" si="40"/>
        <v>2</v>
      </c>
      <c r="J106" s="45">
        <f t="shared" si="41"/>
        <v>2</v>
      </c>
      <c r="K106" s="45">
        <f t="shared" si="42"/>
        <v>1</v>
      </c>
      <c r="L106" s="45">
        <f t="shared" si="43"/>
        <v>2</v>
      </c>
      <c r="M106" s="1" t="str">
        <f t="shared" si="24"/>
        <v/>
      </c>
      <c r="O106" s="44" t="str">
        <f t="shared" si="30"/>
        <v>3H</v>
      </c>
      <c r="P106" s="44" t="str">
        <f t="shared" si="31"/>
        <v>6H</v>
      </c>
      <c r="Q106" s="44" t="str">
        <f t="shared" si="32"/>
        <v>10S</v>
      </c>
      <c r="R106" s="44" t="str">
        <f t="shared" si="33"/>
        <v>KC</v>
      </c>
      <c r="S106" s="44" t="str">
        <f t="shared" si="34"/>
        <v>10D</v>
      </c>
      <c r="T106" s="7"/>
      <c r="U106" s="13">
        <v>1</v>
      </c>
      <c r="V106" s="13">
        <v>1</v>
      </c>
      <c r="W106" s="7"/>
      <c r="X106" s="1">
        <f t="shared" si="35"/>
        <v>0</v>
      </c>
      <c r="Y106" s="1">
        <f t="shared" si="36"/>
        <v>0</v>
      </c>
      <c r="Z106" s="1" t="b">
        <f t="shared" si="37"/>
        <v>0</v>
      </c>
      <c r="AA106" s="1" t="str">
        <f t="shared" si="38"/>
        <v>2</v>
      </c>
      <c r="AB106" s="1" t="str">
        <f t="shared" si="39"/>
        <v>Wrong</v>
      </c>
    </row>
    <row r="107" spans="1:28" x14ac:dyDescent="0.25">
      <c r="A107" s="2">
        <f t="shared" si="23"/>
        <v>103</v>
      </c>
      <c r="B107" s="44" t="str">
        <f t="shared" si="25"/>
        <v>9C</v>
      </c>
      <c r="C107" s="44" t="str">
        <f t="shared" si="26"/>
        <v>6H</v>
      </c>
      <c r="D107" s="44" t="str">
        <f t="shared" si="27"/>
        <v>7S</v>
      </c>
      <c r="E107" s="44" t="str">
        <f t="shared" si="28"/>
        <v>KD</v>
      </c>
      <c r="F107" s="44" t="str">
        <f t="shared" si="29"/>
        <v>5D</v>
      </c>
      <c r="I107" s="45">
        <f t="shared" si="40"/>
        <v>2</v>
      </c>
      <c r="J107" s="45">
        <f t="shared" si="41"/>
        <v>2</v>
      </c>
      <c r="K107" s="45">
        <f t="shared" si="42"/>
        <v>1</v>
      </c>
      <c r="L107" s="45">
        <f t="shared" si="43"/>
        <v>2</v>
      </c>
      <c r="M107" s="1" t="str">
        <f t="shared" si="24"/>
        <v/>
      </c>
      <c r="O107" s="44" t="str">
        <f t="shared" si="30"/>
        <v>6S</v>
      </c>
      <c r="P107" s="44" t="str">
        <f t="shared" si="31"/>
        <v>9D</v>
      </c>
      <c r="Q107" s="44" t="str">
        <f t="shared" si="32"/>
        <v>4H</v>
      </c>
      <c r="R107" s="44" t="str">
        <f t="shared" si="33"/>
        <v>5C</v>
      </c>
      <c r="S107" s="44" t="str">
        <f t="shared" si="34"/>
        <v>6D</v>
      </c>
      <c r="T107" s="7"/>
      <c r="U107" s="13">
        <v>1</v>
      </c>
      <c r="V107" s="13">
        <v>1</v>
      </c>
      <c r="W107" s="7"/>
      <c r="X107" s="1">
        <f t="shared" si="35"/>
        <v>0</v>
      </c>
      <c r="Y107" s="1">
        <f t="shared" si="36"/>
        <v>0</v>
      </c>
      <c r="Z107" s="1" t="b">
        <f t="shared" si="37"/>
        <v>0</v>
      </c>
      <c r="AA107" s="1" t="str">
        <f t="shared" si="38"/>
        <v>2</v>
      </c>
      <c r="AB107" s="1" t="str">
        <f t="shared" si="39"/>
        <v>Wrong</v>
      </c>
    </row>
    <row r="108" spans="1:28" x14ac:dyDescent="0.25">
      <c r="A108" s="2">
        <f t="shared" si="23"/>
        <v>104</v>
      </c>
      <c r="B108" s="44" t="str">
        <f t="shared" si="25"/>
        <v>8S</v>
      </c>
      <c r="C108" s="44" t="str">
        <f t="shared" si="26"/>
        <v>5H</v>
      </c>
      <c r="D108" s="44" t="str">
        <f t="shared" si="27"/>
        <v>QH</v>
      </c>
      <c r="E108" s="44" t="str">
        <f t="shared" si="28"/>
        <v>QS</v>
      </c>
      <c r="F108" s="44" t="str">
        <f t="shared" si="29"/>
        <v>JS</v>
      </c>
      <c r="I108" s="45">
        <f t="shared" si="40"/>
        <v>2</v>
      </c>
      <c r="J108" s="45">
        <f t="shared" si="41"/>
        <v>1</v>
      </c>
      <c r="K108" s="45">
        <f t="shared" si="42"/>
        <v>2</v>
      </c>
      <c r="L108" s="45">
        <f t="shared" si="43"/>
        <v>1</v>
      </c>
      <c r="M108" s="1" t="str">
        <f t="shared" si="24"/>
        <v/>
      </c>
      <c r="O108" s="44" t="str">
        <f t="shared" si="30"/>
        <v>3C</v>
      </c>
      <c r="P108" s="44" t="str">
        <f t="shared" si="31"/>
        <v>10D</v>
      </c>
      <c r="Q108" s="44" t="str">
        <f t="shared" si="32"/>
        <v>7D</v>
      </c>
      <c r="R108" s="44" t="str">
        <f t="shared" si="33"/>
        <v>5D</v>
      </c>
      <c r="S108" s="44" t="str">
        <f t="shared" si="34"/>
        <v>9S</v>
      </c>
      <c r="T108" s="7"/>
      <c r="U108" s="13">
        <v>1</v>
      </c>
      <c r="V108" s="13">
        <v>1</v>
      </c>
      <c r="W108" s="7"/>
      <c r="X108" s="1">
        <f t="shared" si="35"/>
        <v>0</v>
      </c>
      <c r="Y108" s="1">
        <f t="shared" si="36"/>
        <v>1</v>
      </c>
      <c r="Z108" s="1" t="b">
        <f t="shared" si="37"/>
        <v>0</v>
      </c>
      <c r="AA108" s="1" t="str">
        <f t="shared" si="38"/>
        <v>2</v>
      </c>
      <c r="AB108" s="1" t="str">
        <f t="shared" si="39"/>
        <v>Wrong</v>
      </c>
    </row>
    <row r="109" spans="1:28" x14ac:dyDescent="0.25">
      <c r="A109" s="2">
        <f t="shared" si="23"/>
        <v>105</v>
      </c>
      <c r="B109" s="44" t="str">
        <f t="shared" si="25"/>
        <v>7D</v>
      </c>
      <c r="C109" s="44" t="str">
        <f t="shared" si="26"/>
        <v>AH</v>
      </c>
      <c r="D109" s="44" t="str">
        <f t="shared" si="27"/>
        <v>QD</v>
      </c>
      <c r="E109" s="44" t="str">
        <f t="shared" si="28"/>
        <v>7S</v>
      </c>
      <c r="F109" s="44" t="str">
        <f t="shared" si="29"/>
        <v>3H</v>
      </c>
      <c r="I109" s="45">
        <f t="shared" si="40"/>
        <v>2</v>
      </c>
      <c r="J109" s="45">
        <f t="shared" si="41"/>
        <v>1</v>
      </c>
      <c r="K109" s="45">
        <f t="shared" si="42"/>
        <v>2</v>
      </c>
      <c r="L109" s="45">
        <f t="shared" si="43"/>
        <v>1</v>
      </c>
      <c r="M109" s="1" t="str">
        <f t="shared" si="24"/>
        <v/>
      </c>
      <c r="O109" s="44" t="str">
        <f t="shared" si="30"/>
        <v>4C</v>
      </c>
      <c r="P109" s="44" t="str">
        <f t="shared" si="31"/>
        <v>KC</v>
      </c>
      <c r="Q109" s="44" t="str">
        <f t="shared" si="32"/>
        <v>10H</v>
      </c>
      <c r="R109" s="44" t="str">
        <f t="shared" si="33"/>
        <v>6H</v>
      </c>
      <c r="S109" s="44" t="str">
        <f t="shared" si="34"/>
        <v>9C</v>
      </c>
      <c r="T109" s="7"/>
      <c r="U109" s="13">
        <v>1</v>
      </c>
      <c r="V109" s="13">
        <v>1</v>
      </c>
      <c r="W109" s="7"/>
      <c r="X109" s="1">
        <f t="shared" si="35"/>
        <v>0</v>
      </c>
      <c r="Y109" s="1">
        <f t="shared" si="36"/>
        <v>1</v>
      </c>
      <c r="Z109" s="1" t="b">
        <f t="shared" si="37"/>
        <v>0</v>
      </c>
      <c r="AA109" s="1" t="str">
        <f t="shared" si="38"/>
        <v>2</v>
      </c>
      <c r="AB109" s="1" t="str">
        <f t="shared" si="39"/>
        <v>Wrong</v>
      </c>
    </row>
    <row r="110" spans="1:28" x14ac:dyDescent="0.25">
      <c r="A110" s="2">
        <f t="shared" si="23"/>
        <v>106</v>
      </c>
      <c r="B110" s="44" t="str">
        <f t="shared" ref="B110:B141" si="44">R37</f>
        <v>6D</v>
      </c>
      <c r="C110" s="44" t="str">
        <f t="shared" ref="C110:C141" si="45">Q37</f>
        <v>3D</v>
      </c>
      <c r="D110" s="44" t="str">
        <f t="shared" ref="D110:D141" si="46">S37</f>
        <v>5D</v>
      </c>
      <c r="E110" s="44" t="str">
        <f t="shared" ref="E110:E141" si="47">O37</f>
        <v>2D</v>
      </c>
      <c r="F110" s="44" t="str">
        <f t="shared" ref="F110:F141" si="48">P37</f>
        <v>4D</v>
      </c>
      <c r="I110" s="45">
        <f t="shared" si="40"/>
        <v>9</v>
      </c>
      <c r="J110" s="45">
        <f t="shared" si="41"/>
        <v>1</v>
      </c>
      <c r="K110" s="45">
        <f t="shared" si="42"/>
        <v>9</v>
      </c>
      <c r="L110" s="45">
        <f t="shared" si="43"/>
        <v>9</v>
      </c>
      <c r="M110" s="1" t="str">
        <f t="shared" si="24"/>
        <v>Tie</v>
      </c>
      <c r="O110" s="44" t="str">
        <f t="shared" ref="O110:O141" si="49">B37</f>
        <v>2C</v>
      </c>
      <c r="P110" s="44" t="str">
        <f t="shared" ref="P110:P141" si="50">C37</f>
        <v>4C</v>
      </c>
      <c r="Q110" s="44" t="str">
        <f t="shared" ref="Q110:Q141" si="51">F37</f>
        <v>5C</v>
      </c>
      <c r="R110" s="44" t="str">
        <f t="shared" ref="R110:R141" si="52">D37</f>
        <v>3C</v>
      </c>
      <c r="S110" s="44" t="str">
        <f t="shared" ref="S110:S141" si="53">E37</f>
        <v>AC</v>
      </c>
      <c r="T110" s="7"/>
      <c r="U110" s="13">
        <v>1</v>
      </c>
      <c r="V110" s="13">
        <v>1</v>
      </c>
      <c r="W110" s="7"/>
      <c r="X110" s="1">
        <f t="shared" si="35"/>
        <v>0</v>
      </c>
      <c r="Y110" s="1">
        <f t="shared" si="36"/>
        <v>1</v>
      </c>
      <c r="Z110" s="1" t="b">
        <f t="shared" si="37"/>
        <v>0</v>
      </c>
      <c r="AA110" s="1" t="str">
        <f t="shared" si="38"/>
        <v>9Tie</v>
      </c>
      <c r="AB110" s="1" t="str">
        <f t="shared" si="39"/>
        <v>Wrong</v>
      </c>
    </row>
    <row r="111" spans="1:28" x14ac:dyDescent="0.25">
      <c r="A111" s="2">
        <f t="shared" si="23"/>
        <v>107</v>
      </c>
      <c r="B111" s="44" t="str">
        <f t="shared" si="44"/>
        <v>KH</v>
      </c>
      <c r="C111" s="44" t="str">
        <f t="shared" si="45"/>
        <v>JH</v>
      </c>
      <c r="D111" s="44" t="str">
        <f t="shared" si="46"/>
        <v>QH</v>
      </c>
      <c r="E111" s="44" t="str">
        <f t="shared" si="47"/>
        <v>9H</v>
      </c>
      <c r="F111" s="44" t="str">
        <f t="shared" si="48"/>
        <v>10H</v>
      </c>
      <c r="I111" s="45">
        <f t="shared" si="40"/>
        <v>9</v>
      </c>
      <c r="J111" s="45">
        <f t="shared" si="41"/>
        <v>1</v>
      </c>
      <c r="K111" s="45">
        <f t="shared" si="42"/>
        <v>9</v>
      </c>
      <c r="L111" s="45">
        <f t="shared" si="43"/>
        <v>9</v>
      </c>
      <c r="M111" s="1" t="str">
        <f t="shared" si="24"/>
        <v>Tie</v>
      </c>
      <c r="O111" s="44" t="str">
        <f t="shared" si="49"/>
        <v>5H</v>
      </c>
      <c r="P111" s="44" t="str">
        <f t="shared" si="50"/>
        <v>4H</v>
      </c>
      <c r="Q111" s="44" t="str">
        <f t="shared" si="51"/>
        <v>8H</v>
      </c>
      <c r="R111" s="44" t="str">
        <f t="shared" si="52"/>
        <v>6H</v>
      </c>
      <c r="S111" s="44" t="str">
        <f t="shared" si="53"/>
        <v>7H</v>
      </c>
      <c r="T111" s="7"/>
      <c r="U111" s="13">
        <v>1</v>
      </c>
      <c r="V111" s="13">
        <v>1</v>
      </c>
      <c r="W111" s="7"/>
      <c r="X111" s="1">
        <f t="shared" si="35"/>
        <v>0</v>
      </c>
      <c r="Y111" s="1">
        <f t="shared" si="36"/>
        <v>1</v>
      </c>
      <c r="Z111" s="1" t="b">
        <f t="shared" si="37"/>
        <v>0</v>
      </c>
      <c r="AA111" s="1" t="str">
        <f t="shared" si="38"/>
        <v>9Tie</v>
      </c>
      <c r="AB111" s="1" t="str">
        <f t="shared" si="39"/>
        <v>Wrong</v>
      </c>
    </row>
    <row r="112" spans="1:28" x14ac:dyDescent="0.25">
      <c r="A112" s="2">
        <f t="shared" si="23"/>
        <v>108</v>
      </c>
      <c r="B112" s="44" t="str">
        <f t="shared" si="44"/>
        <v>9C</v>
      </c>
      <c r="C112" s="44" t="str">
        <f t="shared" si="45"/>
        <v>9S</v>
      </c>
      <c r="D112" s="44" t="str">
        <f t="shared" si="46"/>
        <v>AC</v>
      </c>
      <c r="E112" s="44" t="str">
        <f t="shared" si="47"/>
        <v>9H</v>
      </c>
      <c r="F112" s="44" t="str">
        <f t="shared" si="48"/>
        <v>9D</v>
      </c>
      <c r="I112" s="45">
        <f t="shared" si="40"/>
        <v>8</v>
      </c>
      <c r="J112" s="45">
        <f t="shared" si="41"/>
        <v>1</v>
      </c>
      <c r="K112" s="45">
        <f t="shared" si="42"/>
        <v>8</v>
      </c>
      <c r="L112" s="45">
        <f t="shared" si="43"/>
        <v>8</v>
      </c>
      <c r="M112" s="1" t="str">
        <f t="shared" si="24"/>
        <v>Tie</v>
      </c>
      <c r="O112" s="44" t="str">
        <f t="shared" si="49"/>
        <v>AH</v>
      </c>
      <c r="P112" s="44" t="str">
        <f t="shared" si="50"/>
        <v>3D</v>
      </c>
      <c r="Q112" s="44" t="str">
        <f t="shared" si="51"/>
        <v>3H</v>
      </c>
      <c r="R112" s="44" t="str">
        <f t="shared" si="52"/>
        <v>3S</v>
      </c>
      <c r="S112" s="44" t="str">
        <f t="shared" si="53"/>
        <v>3C</v>
      </c>
      <c r="T112" s="7"/>
      <c r="U112" s="13">
        <v>1</v>
      </c>
      <c r="V112" s="13">
        <v>1</v>
      </c>
      <c r="W112" s="7"/>
      <c r="X112" s="1">
        <f t="shared" si="35"/>
        <v>0</v>
      </c>
      <c r="Y112" s="1">
        <f t="shared" si="36"/>
        <v>1</v>
      </c>
      <c r="Z112" s="1" t="b">
        <f t="shared" si="37"/>
        <v>0</v>
      </c>
      <c r="AA112" s="1" t="str">
        <f t="shared" si="38"/>
        <v>8Tie</v>
      </c>
      <c r="AB112" s="1" t="str">
        <f t="shared" si="39"/>
        <v>Wrong</v>
      </c>
    </row>
    <row r="113" spans="1:28" x14ac:dyDescent="0.25">
      <c r="A113" s="2">
        <f t="shared" si="23"/>
        <v>109</v>
      </c>
      <c r="B113" s="44" t="str">
        <f t="shared" si="44"/>
        <v>AC</v>
      </c>
      <c r="C113" s="44" t="str">
        <f t="shared" si="45"/>
        <v>AD</v>
      </c>
      <c r="D113" s="44" t="str">
        <f t="shared" si="46"/>
        <v>3S</v>
      </c>
      <c r="E113" s="44" t="str">
        <f t="shared" si="47"/>
        <v>AH</v>
      </c>
      <c r="F113" s="44" t="str">
        <f t="shared" si="48"/>
        <v>AS</v>
      </c>
      <c r="I113" s="45">
        <f t="shared" si="40"/>
        <v>8</v>
      </c>
      <c r="J113" s="45">
        <f t="shared" si="41"/>
        <v>1</v>
      </c>
      <c r="K113" s="45">
        <f t="shared" si="42"/>
        <v>8</v>
      </c>
      <c r="L113" s="45">
        <f t="shared" si="43"/>
        <v>8</v>
      </c>
      <c r="M113" s="1" t="str">
        <f t="shared" si="24"/>
        <v>Tie</v>
      </c>
      <c r="O113" s="44" t="str">
        <f t="shared" si="49"/>
        <v>KH</v>
      </c>
      <c r="P113" s="44" t="str">
        <f t="shared" si="50"/>
        <v>2C</v>
      </c>
      <c r="Q113" s="44" t="str">
        <f t="shared" si="51"/>
        <v>KC</v>
      </c>
      <c r="R113" s="44" t="str">
        <f t="shared" si="52"/>
        <v>KS</v>
      </c>
      <c r="S113" s="44" t="str">
        <f t="shared" si="53"/>
        <v>KD</v>
      </c>
      <c r="T113" s="7"/>
      <c r="U113" s="13">
        <v>1</v>
      </c>
      <c r="V113" s="13">
        <v>1</v>
      </c>
      <c r="W113" s="7"/>
      <c r="X113" s="1">
        <f t="shared" si="35"/>
        <v>0</v>
      </c>
      <c r="Y113" s="1">
        <f t="shared" si="36"/>
        <v>1</v>
      </c>
      <c r="Z113" s="1" t="b">
        <f t="shared" si="37"/>
        <v>0</v>
      </c>
      <c r="AA113" s="1" t="str">
        <f t="shared" si="38"/>
        <v>8Tie</v>
      </c>
      <c r="AB113" s="1" t="str">
        <f t="shared" si="39"/>
        <v>Wrong</v>
      </c>
    </row>
    <row r="114" spans="1:28" x14ac:dyDescent="0.25">
      <c r="A114" s="2">
        <f t="shared" si="23"/>
        <v>110</v>
      </c>
      <c r="B114" s="44" t="str">
        <f t="shared" si="44"/>
        <v>4D</v>
      </c>
      <c r="C114" s="44" t="str">
        <f t="shared" si="45"/>
        <v>4C</v>
      </c>
      <c r="D114" s="44" t="str">
        <f t="shared" si="46"/>
        <v>4S</v>
      </c>
      <c r="E114" s="44" t="str">
        <f t="shared" si="47"/>
        <v>2S</v>
      </c>
      <c r="F114" s="44" t="str">
        <f t="shared" si="48"/>
        <v>2H</v>
      </c>
      <c r="I114" s="45">
        <f t="shared" si="40"/>
        <v>7</v>
      </c>
      <c r="J114" s="45">
        <f t="shared" si="41"/>
        <v>1</v>
      </c>
      <c r="K114" s="45">
        <f t="shared" si="42"/>
        <v>7</v>
      </c>
      <c r="L114" s="45">
        <f t="shared" si="43"/>
        <v>7</v>
      </c>
      <c r="M114" s="1" t="str">
        <f t="shared" si="24"/>
        <v>Tie</v>
      </c>
      <c r="O114" s="44" t="str">
        <f t="shared" si="49"/>
        <v>2C</v>
      </c>
      <c r="P114" s="44" t="str">
        <f t="shared" si="50"/>
        <v>2D</v>
      </c>
      <c r="Q114" s="44" t="str">
        <f t="shared" si="51"/>
        <v>3S</v>
      </c>
      <c r="R114" s="44" t="str">
        <f t="shared" si="52"/>
        <v>3C</v>
      </c>
      <c r="S114" s="44" t="str">
        <f t="shared" si="53"/>
        <v>3D</v>
      </c>
      <c r="T114" s="7"/>
      <c r="U114" s="13">
        <v>1</v>
      </c>
      <c r="V114" s="13">
        <v>1</v>
      </c>
      <c r="W114" s="7"/>
      <c r="X114" s="1">
        <f t="shared" si="35"/>
        <v>0</v>
      </c>
      <c r="Y114" s="1">
        <f t="shared" si="36"/>
        <v>1</v>
      </c>
      <c r="Z114" s="1" t="b">
        <f t="shared" si="37"/>
        <v>0</v>
      </c>
      <c r="AA114" s="1" t="str">
        <f t="shared" si="38"/>
        <v>7Tie</v>
      </c>
      <c r="AB114" s="1" t="str">
        <f t="shared" si="39"/>
        <v>Wrong</v>
      </c>
    </row>
    <row r="115" spans="1:28" x14ac:dyDescent="0.25">
      <c r="A115" s="2">
        <f t="shared" si="23"/>
        <v>111</v>
      </c>
      <c r="B115" s="44" t="str">
        <f t="shared" si="44"/>
        <v>AH</v>
      </c>
      <c r="C115" s="44" t="str">
        <f t="shared" si="45"/>
        <v>2D</v>
      </c>
      <c r="D115" s="44" t="str">
        <f t="shared" si="46"/>
        <v>AS</v>
      </c>
      <c r="E115" s="44" t="str">
        <f t="shared" si="47"/>
        <v>2S</v>
      </c>
      <c r="F115" s="44" t="str">
        <f t="shared" si="48"/>
        <v>2H</v>
      </c>
      <c r="I115" s="45">
        <f t="shared" si="40"/>
        <v>7</v>
      </c>
      <c r="J115" s="45">
        <f t="shared" si="41"/>
        <v>2</v>
      </c>
      <c r="K115" s="45">
        <f t="shared" si="42"/>
        <v>7</v>
      </c>
      <c r="L115" s="45">
        <f t="shared" si="43"/>
        <v>7</v>
      </c>
      <c r="M115" s="1" t="str">
        <f t="shared" si="24"/>
        <v>Tie</v>
      </c>
      <c r="O115" s="44" t="str">
        <f t="shared" si="49"/>
        <v>AC</v>
      </c>
      <c r="P115" s="44" t="str">
        <f t="shared" si="50"/>
        <v>AD</v>
      </c>
      <c r="Q115" s="44" t="str">
        <f t="shared" si="51"/>
        <v>3S</v>
      </c>
      <c r="R115" s="44" t="str">
        <f t="shared" si="52"/>
        <v>3C</v>
      </c>
      <c r="S115" s="44" t="str">
        <f t="shared" si="53"/>
        <v>3D</v>
      </c>
      <c r="T115" s="7"/>
      <c r="U115" s="13">
        <v>1</v>
      </c>
      <c r="V115" s="13">
        <v>1</v>
      </c>
      <c r="W115" s="7"/>
      <c r="X115" s="1">
        <f t="shared" si="35"/>
        <v>0</v>
      </c>
      <c r="Y115" s="1">
        <f t="shared" si="36"/>
        <v>0</v>
      </c>
      <c r="Z115" s="1" t="b">
        <f t="shared" si="37"/>
        <v>0</v>
      </c>
      <c r="AA115" s="1" t="str">
        <f t="shared" si="38"/>
        <v>7Tie</v>
      </c>
      <c r="AB115" s="1" t="str">
        <f t="shared" si="39"/>
        <v>Wrong</v>
      </c>
    </row>
    <row r="116" spans="1:28" x14ac:dyDescent="0.25">
      <c r="A116" s="2">
        <f t="shared" si="23"/>
        <v>112</v>
      </c>
      <c r="B116" s="44" t="str">
        <f t="shared" si="44"/>
        <v>4C</v>
      </c>
      <c r="C116" s="44" t="str">
        <f t="shared" si="45"/>
        <v>2C</v>
      </c>
      <c r="D116" s="44" t="str">
        <f t="shared" si="46"/>
        <v>KC</v>
      </c>
      <c r="E116" s="44" t="str">
        <f t="shared" si="47"/>
        <v>5C</v>
      </c>
      <c r="F116" s="44" t="str">
        <f t="shared" si="48"/>
        <v>3C</v>
      </c>
      <c r="I116" s="45">
        <f t="shared" si="40"/>
        <v>6</v>
      </c>
      <c r="J116" s="45">
        <f t="shared" si="41"/>
        <v>1</v>
      </c>
      <c r="K116" s="45">
        <f t="shared" si="42"/>
        <v>6</v>
      </c>
      <c r="L116" s="45">
        <f t="shared" si="43"/>
        <v>6</v>
      </c>
      <c r="M116" s="1" t="str">
        <f t="shared" si="24"/>
        <v>Tie</v>
      </c>
      <c r="O116" s="44" t="str">
        <f t="shared" si="49"/>
        <v>5H</v>
      </c>
      <c r="P116" s="44" t="str">
        <f t="shared" si="50"/>
        <v>6H</v>
      </c>
      <c r="Q116" s="44" t="str">
        <f t="shared" si="51"/>
        <v>9H</v>
      </c>
      <c r="R116" s="44" t="str">
        <f t="shared" si="52"/>
        <v>JH</v>
      </c>
      <c r="S116" s="44" t="str">
        <f t="shared" si="53"/>
        <v>3H</v>
      </c>
      <c r="T116" s="7"/>
      <c r="U116" s="13">
        <v>1</v>
      </c>
      <c r="V116" s="13">
        <v>1</v>
      </c>
      <c r="W116" s="7"/>
      <c r="X116" s="1">
        <f t="shared" si="35"/>
        <v>0</v>
      </c>
      <c r="Y116" s="1">
        <f t="shared" si="36"/>
        <v>1</v>
      </c>
      <c r="Z116" s="1" t="b">
        <f t="shared" si="37"/>
        <v>0</v>
      </c>
      <c r="AA116" s="1" t="str">
        <f t="shared" si="38"/>
        <v>6Tie</v>
      </c>
      <c r="AB116" s="1" t="str">
        <f t="shared" si="39"/>
        <v>Wrong</v>
      </c>
    </row>
    <row r="117" spans="1:28" x14ac:dyDescent="0.25">
      <c r="A117" s="2">
        <f t="shared" si="23"/>
        <v>113</v>
      </c>
      <c r="B117" s="44" t="str">
        <f t="shared" si="44"/>
        <v>8H</v>
      </c>
      <c r="C117" s="44" t="str">
        <f t="shared" si="45"/>
        <v>7H</v>
      </c>
      <c r="D117" s="44" t="str">
        <f t="shared" si="46"/>
        <v>10H</v>
      </c>
      <c r="E117" s="44" t="str">
        <f t="shared" si="47"/>
        <v>4H</v>
      </c>
      <c r="F117" s="44" t="str">
        <f t="shared" si="48"/>
        <v>5H</v>
      </c>
      <c r="I117" s="45">
        <f t="shared" si="40"/>
        <v>6</v>
      </c>
      <c r="J117" s="45">
        <f t="shared" si="41"/>
        <v>2</v>
      </c>
      <c r="K117" s="45">
        <f t="shared" si="42"/>
        <v>6</v>
      </c>
      <c r="L117" s="45">
        <f t="shared" si="43"/>
        <v>6</v>
      </c>
      <c r="M117" s="1" t="str">
        <f t="shared" si="24"/>
        <v>Tie</v>
      </c>
      <c r="O117" s="44" t="str">
        <f t="shared" si="49"/>
        <v>AH</v>
      </c>
      <c r="P117" s="44" t="str">
        <f t="shared" si="50"/>
        <v>6H</v>
      </c>
      <c r="Q117" s="44" t="str">
        <f t="shared" si="51"/>
        <v>9H</v>
      </c>
      <c r="R117" s="44" t="str">
        <f t="shared" si="52"/>
        <v>JH</v>
      </c>
      <c r="S117" s="44" t="str">
        <f t="shared" si="53"/>
        <v>3H</v>
      </c>
      <c r="T117" s="7"/>
      <c r="U117" s="13">
        <v>1</v>
      </c>
      <c r="V117" s="13">
        <v>1</v>
      </c>
      <c r="W117" s="7"/>
      <c r="X117" s="1">
        <f t="shared" si="35"/>
        <v>0</v>
      </c>
      <c r="Y117" s="1">
        <f t="shared" si="36"/>
        <v>0</v>
      </c>
      <c r="Z117" s="1" t="b">
        <f t="shared" si="37"/>
        <v>0</v>
      </c>
      <c r="AA117" s="1" t="str">
        <f t="shared" si="38"/>
        <v>6Tie</v>
      </c>
      <c r="AB117" s="1" t="str">
        <f t="shared" si="39"/>
        <v>Wrong</v>
      </c>
    </row>
    <row r="118" spans="1:28" x14ac:dyDescent="0.25">
      <c r="A118" s="2">
        <f t="shared" si="23"/>
        <v>114</v>
      </c>
      <c r="B118" s="44" t="str">
        <f t="shared" si="44"/>
        <v>AC</v>
      </c>
      <c r="C118" s="44" t="str">
        <f t="shared" si="45"/>
        <v>4C</v>
      </c>
      <c r="D118" s="44" t="str">
        <f t="shared" si="46"/>
        <v>5C</v>
      </c>
      <c r="E118" s="44" t="str">
        <f t="shared" si="47"/>
        <v>2D</v>
      </c>
      <c r="F118" s="44" t="str">
        <f t="shared" si="48"/>
        <v>3H</v>
      </c>
      <c r="I118" s="45">
        <f t="shared" si="40"/>
        <v>5</v>
      </c>
      <c r="J118" s="45">
        <f t="shared" si="41"/>
        <v>2</v>
      </c>
      <c r="K118" s="45">
        <f t="shared" si="42"/>
        <v>5</v>
      </c>
      <c r="L118" s="45">
        <f t="shared" si="43"/>
        <v>5</v>
      </c>
      <c r="M118" s="1" t="str">
        <f t="shared" si="24"/>
        <v>Tie</v>
      </c>
      <c r="O118" s="44" t="str">
        <f t="shared" si="49"/>
        <v>2C</v>
      </c>
      <c r="P118" s="44" t="str">
        <f t="shared" si="50"/>
        <v>3D</v>
      </c>
      <c r="Q118" s="44" t="str">
        <f t="shared" si="51"/>
        <v>6H</v>
      </c>
      <c r="R118" s="44" t="str">
        <f t="shared" si="52"/>
        <v>4H</v>
      </c>
      <c r="S118" s="44" t="str">
        <f t="shared" si="53"/>
        <v>5H</v>
      </c>
      <c r="T118" s="7"/>
      <c r="U118" s="13">
        <v>1</v>
      </c>
      <c r="V118" s="13">
        <v>1</v>
      </c>
      <c r="W118" s="7"/>
      <c r="X118" s="1">
        <f t="shared" si="35"/>
        <v>0</v>
      </c>
      <c r="Y118" s="1">
        <f t="shared" si="36"/>
        <v>0</v>
      </c>
      <c r="Z118" s="1" t="b">
        <f t="shared" si="37"/>
        <v>0</v>
      </c>
      <c r="AA118" s="1" t="str">
        <f t="shared" si="38"/>
        <v>5Tie</v>
      </c>
      <c r="AB118" s="1" t="str">
        <f t="shared" si="39"/>
        <v>Wrong</v>
      </c>
    </row>
    <row r="119" spans="1:28" x14ac:dyDescent="0.25">
      <c r="A119" s="2">
        <f t="shared" si="23"/>
        <v>115</v>
      </c>
      <c r="B119" s="44" t="str">
        <f t="shared" si="44"/>
        <v>AD</v>
      </c>
      <c r="C119" s="44" t="str">
        <f t="shared" si="45"/>
        <v>4D</v>
      </c>
      <c r="D119" s="44" t="str">
        <f t="shared" si="46"/>
        <v>5C</v>
      </c>
      <c r="E119" s="44" t="str">
        <f t="shared" si="47"/>
        <v>2H</v>
      </c>
      <c r="F119" s="44" t="str">
        <f t="shared" si="48"/>
        <v>3S</v>
      </c>
      <c r="I119" s="45">
        <f t="shared" si="40"/>
        <v>5</v>
      </c>
      <c r="J119" s="45">
        <f t="shared" si="41"/>
        <v>2</v>
      </c>
      <c r="K119" s="45">
        <f t="shared" si="42"/>
        <v>5</v>
      </c>
      <c r="L119" s="45">
        <f t="shared" si="43"/>
        <v>5</v>
      </c>
      <c r="M119" s="1" t="str">
        <f t="shared" si="24"/>
        <v>Tie</v>
      </c>
      <c r="O119" s="44" t="str">
        <f t="shared" si="49"/>
        <v>2C</v>
      </c>
      <c r="P119" s="44" t="str">
        <f t="shared" si="50"/>
        <v>3D</v>
      </c>
      <c r="Q119" s="44" t="str">
        <f t="shared" si="51"/>
        <v>6H</v>
      </c>
      <c r="R119" s="44" t="str">
        <f t="shared" si="52"/>
        <v>4H</v>
      </c>
      <c r="S119" s="44" t="str">
        <f t="shared" si="53"/>
        <v>5H</v>
      </c>
      <c r="T119" s="7"/>
      <c r="U119" s="13">
        <v>1</v>
      </c>
      <c r="V119" s="13">
        <v>1</v>
      </c>
      <c r="W119" s="7"/>
      <c r="X119" s="1">
        <f t="shared" si="35"/>
        <v>0</v>
      </c>
      <c r="Y119" s="1">
        <f t="shared" si="36"/>
        <v>0</v>
      </c>
      <c r="Z119" s="1" t="b">
        <f t="shared" si="37"/>
        <v>0</v>
      </c>
      <c r="AA119" s="1" t="str">
        <f t="shared" si="38"/>
        <v>5Tie</v>
      </c>
      <c r="AB119" s="1" t="str">
        <f t="shared" si="39"/>
        <v>Wrong</v>
      </c>
    </row>
    <row r="120" spans="1:28" x14ac:dyDescent="0.25">
      <c r="A120" s="2">
        <f t="shared" si="23"/>
        <v>116</v>
      </c>
      <c r="B120" s="44" t="str">
        <f t="shared" si="44"/>
        <v>2H</v>
      </c>
      <c r="C120" s="44" t="str">
        <f t="shared" si="45"/>
        <v>5S</v>
      </c>
      <c r="D120" s="44" t="str">
        <f t="shared" si="46"/>
        <v>5H</v>
      </c>
      <c r="E120" s="44" t="str">
        <f t="shared" si="47"/>
        <v>3C</v>
      </c>
      <c r="F120" s="44" t="str">
        <f t="shared" si="48"/>
        <v>5C</v>
      </c>
      <c r="I120" s="45">
        <f t="shared" si="40"/>
        <v>4</v>
      </c>
      <c r="J120" s="45">
        <f t="shared" si="41"/>
        <v>2</v>
      </c>
      <c r="K120" s="45">
        <f t="shared" si="42"/>
        <v>4</v>
      </c>
      <c r="L120" s="45">
        <f t="shared" si="43"/>
        <v>4</v>
      </c>
      <c r="M120" s="1" t="str">
        <f t="shared" si="24"/>
        <v>Tie</v>
      </c>
      <c r="O120" s="44" t="str">
        <f t="shared" si="49"/>
        <v>7H</v>
      </c>
      <c r="P120" s="44" t="str">
        <f t="shared" si="50"/>
        <v>QC</v>
      </c>
      <c r="Q120" s="44" t="str">
        <f t="shared" si="51"/>
        <v>QS</v>
      </c>
      <c r="R120" s="44" t="str">
        <f t="shared" si="52"/>
        <v>JC</v>
      </c>
      <c r="S120" s="44" t="str">
        <f t="shared" si="53"/>
        <v>QH</v>
      </c>
      <c r="T120" s="7"/>
      <c r="U120" s="13">
        <v>1</v>
      </c>
      <c r="V120" s="13">
        <v>1</v>
      </c>
      <c r="W120" s="7"/>
      <c r="X120" s="1">
        <f t="shared" si="35"/>
        <v>0</v>
      </c>
      <c r="Y120" s="1">
        <f t="shared" si="36"/>
        <v>0</v>
      </c>
      <c r="Z120" s="1" t="b">
        <f t="shared" si="37"/>
        <v>0</v>
      </c>
      <c r="AA120" s="1" t="str">
        <f t="shared" si="38"/>
        <v>4Tie</v>
      </c>
      <c r="AB120" s="1" t="str">
        <f t="shared" si="39"/>
        <v>Wrong</v>
      </c>
    </row>
    <row r="121" spans="1:28" x14ac:dyDescent="0.25">
      <c r="A121" s="2">
        <f t="shared" si="23"/>
        <v>117</v>
      </c>
      <c r="B121" s="44" t="str">
        <f t="shared" si="44"/>
        <v>2S</v>
      </c>
      <c r="C121" s="44" t="str">
        <f t="shared" si="45"/>
        <v>3C</v>
      </c>
      <c r="D121" s="44" t="str">
        <f t="shared" si="46"/>
        <v>7C</v>
      </c>
      <c r="E121" s="44" t="str">
        <f t="shared" si="47"/>
        <v>2H</v>
      </c>
      <c r="F121" s="44" t="str">
        <f t="shared" si="48"/>
        <v>3S</v>
      </c>
      <c r="I121" s="45">
        <f t="shared" si="40"/>
        <v>3</v>
      </c>
      <c r="J121" s="45">
        <f t="shared" si="41"/>
        <v>2</v>
      </c>
      <c r="K121" s="45">
        <f t="shared" si="42"/>
        <v>3</v>
      </c>
      <c r="L121" s="45">
        <f t="shared" si="43"/>
        <v>3</v>
      </c>
      <c r="M121" s="1" t="str">
        <f t="shared" si="24"/>
        <v>Tie</v>
      </c>
      <c r="O121" s="44" t="str">
        <f t="shared" si="49"/>
        <v>5D</v>
      </c>
      <c r="P121" s="44" t="str">
        <f t="shared" si="50"/>
        <v>AH</v>
      </c>
      <c r="Q121" s="44" t="str">
        <f t="shared" si="51"/>
        <v>5H</v>
      </c>
      <c r="R121" s="44" t="str">
        <f t="shared" si="52"/>
        <v>10D</v>
      </c>
      <c r="S121" s="44" t="str">
        <f t="shared" si="53"/>
        <v>AD</v>
      </c>
      <c r="T121" s="7"/>
      <c r="U121" s="13">
        <v>1</v>
      </c>
      <c r="V121" s="13">
        <v>1</v>
      </c>
      <c r="W121" s="7"/>
      <c r="X121" s="1">
        <f t="shared" si="35"/>
        <v>0</v>
      </c>
      <c r="Y121" s="1">
        <f t="shared" si="36"/>
        <v>0</v>
      </c>
      <c r="Z121" s="1" t="b">
        <f t="shared" si="37"/>
        <v>0</v>
      </c>
      <c r="AA121" s="1" t="str">
        <f t="shared" si="38"/>
        <v>3Tie</v>
      </c>
      <c r="AB121" s="1" t="str">
        <f t="shared" si="39"/>
        <v>Wrong</v>
      </c>
    </row>
    <row r="122" spans="1:28" x14ac:dyDescent="0.25">
      <c r="A122" s="2">
        <f t="shared" si="23"/>
        <v>118</v>
      </c>
      <c r="B122" s="44" t="str">
        <f t="shared" si="44"/>
        <v>5D</v>
      </c>
      <c r="C122" s="44" t="str">
        <f t="shared" si="45"/>
        <v>5H</v>
      </c>
      <c r="D122" s="44" t="str">
        <f t="shared" si="46"/>
        <v>9C</v>
      </c>
      <c r="E122" s="44" t="str">
        <f t="shared" si="47"/>
        <v>8H</v>
      </c>
      <c r="F122" s="44" t="str">
        <f t="shared" si="48"/>
        <v>8S</v>
      </c>
      <c r="I122" s="45">
        <f t="shared" si="40"/>
        <v>3</v>
      </c>
      <c r="J122" s="45">
        <f t="shared" si="41"/>
        <v>1</v>
      </c>
      <c r="K122" s="45">
        <f t="shared" si="42"/>
        <v>3</v>
      </c>
      <c r="L122" s="45">
        <f t="shared" si="43"/>
        <v>3</v>
      </c>
      <c r="M122" s="1" t="str">
        <f t="shared" si="24"/>
        <v>Tie</v>
      </c>
      <c r="O122" s="44" t="str">
        <f t="shared" si="49"/>
        <v>7S</v>
      </c>
      <c r="P122" s="44" t="str">
        <f t="shared" si="50"/>
        <v>8C</v>
      </c>
      <c r="Q122" s="44" t="str">
        <f t="shared" si="51"/>
        <v>5S</v>
      </c>
      <c r="R122" s="44" t="str">
        <f t="shared" si="52"/>
        <v>8D</v>
      </c>
      <c r="S122" s="44" t="str">
        <f t="shared" si="53"/>
        <v>5C</v>
      </c>
      <c r="T122" s="7"/>
      <c r="U122" s="13">
        <v>1</v>
      </c>
      <c r="V122" s="13">
        <v>1</v>
      </c>
      <c r="W122" s="7"/>
      <c r="X122" s="1">
        <f t="shared" si="35"/>
        <v>0</v>
      </c>
      <c r="Y122" s="1">
        <f t="shared" si="36"/>
        <v>1</v>
      </c>
      <c r="Z122" s="1" t="b">
        <f t="shared" si="37"/>
        <v>0</v>
      </c>
      <c r="AA122" s="1" t="str">
        <f t="shared" si="38"/>
        <v>3Tie</v>
      </c>
      <c r="AB122" s="1" t="str">
        <f t="shared" si="39"/>
        <v>Wrong</v>
      </c>
    </row>
    <row r="123" spans="1:28" x14ac:dyDescent="0.25">
      <c r="A123" s="2">
        <f t="shared" si="23"/>
        <v>119</v>
      </c>
      <c r="B123" s="44" t="str">
        <f t="shared" si="44"/>
        <v>2H</v>
      </c>
      <c r="C123" s="44" t="str">
        <f t="shared" si="45"/>
        <v>2S</v>
      </c>
      <c r="D123" s="44" t="str">
        <f t="shared" si="46"/>
        <v>8D</v>
      </c>
      <c r="E123" s="44" t="str">
        <f t="shared" si="47"/>
        <v>3S</v>
      </c>
      <c r="F123" s="44" t="str">
        <f t="shared" si="48"/>
        <v>3H</v>
      </c>
      <c r="I123" s="45">
        <f t="shared" si="40"/>
        <v>3</v>
      </c>
      <c r="J123" s="45">
        <f t="shared" si="41"/>
        <v>1</v>
      </c>
      <c r="K123" s="45">
        <f t="shared" si="42"/>
        <v>3</v>
      </c>
      <c r="L123" s="45">
        <f t="shared" si="43"/>
        <v>3</v>
      </c>
      <c r="M123" s="1" t="str">
        <f t="shared" si="24"/>
        <v>Tie</v>
      </c>
      <c r="O123" s="44" t="str">
        <f t="shared" si="49"/>
        <v>3D</v>
      </c>
      <c r="P123" s="44" t="str">
        <f t="shared" si="50"/>
        <v>3C</v>
      </c>
      <c r="Q123" s="44" t="str">
        <f t="shared" si="51"/>
        <v>5H</v>
      </c>
      <c r="R123" s="44" t="str">
        <f t="shared" si="52"/>
        <v>2D</v>
      </c>
      <c r="S123" s="44" t="str">
        <f t="shared" si="53"/>
        <v>2C</v>
      </c>
      <c r="T123" s="7"/>
      <c r="U123" s="13">
        <v>1</v>
      </c>
      <c r="V123" s="13">
        <v>1</v>
      </c>
      <c r="W123" s="7"/>
      <c r="X123" s="1">
        <f t="shared" si="35"/>
        <v>0</v>
      </c>
      <c r="Y123" s="1">
        <f t="shared" si="36"/>
        <v>1</v>
      </c>
      <c r="Z123" s="1" t="b">
        <f t="shared" si="37"/>
        <v>0</v>
      </c>
      <c r="AA123" s="1" t="str">
        <f t="shared" si="38"/>
        <v>3Tie</v>
      </c>
      <c r="AB123" s="1" t="str">
        <f t="shared" si="39"/>
        <v>Wrong</v>
      </c>
    </row>
    <row r="124" spans="1:28" x14ac:dyDescent="0.25">
      <c r="A124" s="2">
        <f t="shared" si="23"/>
        <v>120</v>
      </c>
      <c r="B124" s="44" t="str">
        <f t="shared" si="44"/>
        <v>6H</v>
      </c>
      <c r="C124" s="44" t="str">
        <f t="shared" si="45"/>
        <v>6S</v>
      </c>
      <c r="D124" s="44" t="str">
        <f t="shared" si="46"/>
        <v>AH</v>
      </c>
      <c r="E124" s="44" t="str">
        <f t="shared" si="47"/>
        <v>2S</v>
      </c>
      <c r="F124" s="44" t="str">
        <f t="shared" si="48"/>
        <v>2H</v>
      </c>
      <c r="I124" s="45">
        <f t="shared" si="40"/>
        <v>3</v>
      </c>
      <c r="J124" s="45">
        <f t="shared" si="41"/>
        <v>1</v>
      </c>
      <c r="K124" s="45">
        <f t="shared" si="42"/>
        <v>3</v>
      </c>
      <c r="L124" s="45">
        <f t="shared" si="43"/>
        <v>3</v>
      </c>
      <c r="M124" s="1" t="str">
        <f t="shared" si="24"/>
        <v>Tie</v>
      </c>
      <c r="O124" s="44" t="str">
        <f t="shared" si="49"/>
        <v>2D</v>
      </c>
      <c r="P124" s="44" t="str">
        <f t="shared" si="50"/>
        <v>2C</v>
      </c>
      <c r="Q124" s="44" t="str">
        <f t="shared" si="51"/>
        <v>3H</v>
      </c>
      <c r="R124" s="44" t="str">
        <f t="shared" si="52"/>
        <v>6D</v>
      </c>
      <c r="S124" s="44" t="str">
        <f t="shared" si="53"/>
        <v>6C</v>
      </c>
      <c r="T124" s="7"/>
      <c r="U124" s="13">
        <v>1</v>
      </c>
      <c r="V124" s="13">
        <v>1</v>
      </c>
      <c r="W124" s="7"/>
      <c r="X124" s="1">
        <f t="shared" si="35"/>
        <v>0</v>
      </c>
      <c r="Y124" s="1">
        <f t="shared" si="36"/>
        <v>1</v>
      </c>
      <c r="Z124" s="1" t="b">
        <f t="shared" si="37"/>
        <v>0</v>
      </c>
      <c r="AA124" s="1" t="str">
        <f t="shared" si="38"/>
        <v>3Tie</v>
      </c>
      <c r="AB124" s="1" t="str">
        <f t="shared" si="39"/>
        <v>Wrong</v>
      </c>
    </row>
    <row r="125" spans="1:28" x14ac:dyDescent="0.25">
      <c r="A125" s="2">
        <f t="shared" si="23"/>
        <v>121</v>
      </c>
      <c r="B125" s="44" t="str">
        <f t="shared" si="44"/>
        <v>2S</v>
      </c>
      <c r="C125" s="44" t="str">
        <f t="shared" si="45"/>
        <v>JC</v>
      </c>
      <c r="D125" s="44" t="str">
        <f t="shared" si="46"/>
        <v>QS</v>
      </c>
      <c r="E125" s="44" t="str">
        <f t="shared" si="47"/>
        <v>QC</v>
      </c>
      <c r="F125" s="44" t="str">
        <f t="shared" si="48"/>
        <v>9S</v>
      </c>
      <c r="I125" s="45">
        <f t="shared" si="40"/>
        <v>2</v>
      </c>
      <c r="J125" s="45">
        <f t="shared" si="41"/>
        <v>1</v>
      </c>
      <c r="K125" s="45">
        <f t="shared" si="42"/>
        <v>2</v>
      </c>
      <c r="L125" s="45">
        <f t="shared" si="43"/>
        <v>2</v>
      </c>
      <c r="M125" s="1" t="str">
        <f t="shared" si="24"/>
        <v>Tie</v>
      </c>
      <c r="O125" s="44" t="str">
        <f t="shared" si="49"/>
        <v>8C</v>
      </c>
      <c r="P125" s="44" t="str">
        <f t="shared" si="50"/>
        <v>10C</v>
      </c>
      <c r="Q125" s="44" t="str">
        <f t="shared" si="51"/>
        <v>QH</v>
      </c>
      <c r="R125" s="44" t="str">
        <f t="shared" si="52"/>
        <v>7H</v>
      </c>
      <c r="S125" s="44" t="str">
        <f t="shared" si="53"/>
        <v>8H</v>
      </c>
      <c r="T125" s="7"/>
      <c r="U125" s="13">
        <v>1</v>
      </c>
      <c r="V125" s="13">
        <v>1</v>
      </c>
      <c r="W125" s="7"/>
      <c r="X125" s="1">
        <f t="shared" si="35"/>
        <v>0</v>
      </c>
      <c r="Y125" s="1">
        <f t="shared" si="36"/>
        <v>1</v>
      </c>
      <c r="Z125" s="1" t="b">
        <f t="shared" si="37"/>
        <v>0</v>
      </c>
      <c r="AA125" s="1" t="str">
        <f t="shared" si="38"/>
        <v>2Tie</v>
      </c>
      <c r="AB125" s="1" t="str">
        <f t="shared" si="39"/>
        <v>Wrong</v>
      </c>
    </row>
    <row r="126" spans="1:28" x14ac:dyDescent="0.25">
      <c r="A126" s="2">
        <f t="shared" si="23"/>
        <v>122</v>
      </c>
      <c r="B126" s="44" t="str">
        <f t="shared" si="44"/>
        <v>5H</v>
      </c>
      <c r="C126" s="44" t="str">
        <f t="shared" si="45"/>
        <v>7H</v>
      </c>
      <c r="D126" s="44" t="str">
        <f t="shared" si="46"/>
        <v>9C</v>
      </c>
      <c r="E126" s="44" t="str">
        <f t="shared" si="47"/>
        <v>7S</v>
      </c>
      <c r="F126" s="44" t="str">
        <f t="shared" si="48"/>
        <v>4C</v>
      </c>
      <c r="I126" s="45">
        <f t="shared" si="40"/>
        <v>2</v>
      </c>
      <c r="J126" s="45">
        <f t="shared" si="41"/>
        <v>1</v>
      </c>
      <c r="K126" s="45">
        <f t="shared" si="42"/>
        <v>2</v>
      </c>
      <c r="L126" s="45">
        <f t="shared" si="43"/>
        <v>2</v>
      </c>
      <c r="M126" s="1" t="str">
        <f t="shared" si="24"/>
        <v>Tie</v>
      </c>
      <c r="O126" s="44" t="str">
        <f t="shared" si="49"/>
        <v>3C</v>
      </c>
      <c r="P126" s="44" t="str">
        <f t="shared" si="50"/>
        <v>AH</v>
      </c>
      <c r="Q126" s="44" t="str">
        <f t="shared" si="51"/>
        <v>4H</v>
      </c>
      <c r="R126" s="44" t="str">
        <f t="shared" si="52"/>
        <v>3H</v>
      </c>
      <c r="S126" s="44" t="str">
        <f t="shared" si="53"/>
        <v>10C</v>
      </c>
      <c r="T126" s="7"/>
      <c r="U126" s="13">
        <v>1</v>
      </c>
      <c r="V126" s="13">
        <v>1</v>
      </c>
      <c r="W126" s="7"/>
      <c r="X126" s="1">
        <f t="shared" si="35"/>
        <v>0</v>
      </c>
      <c r="Y126" s="1">
        <f t="shared" si="36"/>
        <v>1</v>
      </c>
      <c r="Z126" s="1" t="b">
        <f t="shared" si="37"/>
        <v>0</v>
      </c>
      <c r="AA126" s="1" t="str">
        <f t="shared" si="38"/>
        <v>2Tie</v>
      </c>
      <c r="AB126" s="1" t="str">
        <f t="shared" si="39"/>
        <v>Wrong</v>
      </c>
    </row>
    <row r="127" spans="1:28" x14ac:dyDescent="0.25">
      <c r="A127" s="2">
        <f t="shared" si="23"/>
        <v>123</v>
      </c>
      <c r="B127" s="44" t="str">
        <f t="shared" si="44"/>
        <v>2H</v>
      </c>
      <c r="C127" s="44" t="str">
        <f t="shared" si="45"/>
        <v>9S</v>
      </c>
      <c r="D127" s="44" t="str">
        <f t="shared" si="46"/>
        <v>8D</v>
      </c>
      <c r="E127" s="44" t="str">
        <f t="shared" si="47"/>
        <v>3S</v>
      </c>
      <c r="F127" s="44" t="str">
        <f t="shared" si="48"/>
        <v>3H</v>
      </c>
      <c r="I127" s="45">
        <f t="shared" si="40"/>
        <v>2</v>
      </c>
      <c r="J127" s="45">
        <f t="shared" si="41"/>
        <v>2</v>
      </c>
      <c r="K127" s="45">
        <f t="shared" si="42"/>
        <v>2</v>
      </c>
      <c r="L127" s="45">
        <f t="shared" si="43"/>
        <v>2</v>
      </c>
      <c r="M127" s="1" t="str">
        <f t="shared" si="24"/>
        <v>Tie</v>
      </c>
      <c r="O127" s="44" t="str">
        <f t="shared" si="49"/>
        <v>3D</v>
      </c>
      <c r="P127" s="44" t="str">
        <f t="shared" si="50"/>
        <v>3C</v>
      </c>
      <c r="Q127" s="44" t="str">
        <f t="shared" si="51"/>
        <v>8H</v>
      </c>
      <c r="R127" s="44" t="str">
        <f t="shared" si="52"/>
        <v>9D</v>
      </c>
      <c r="S127" s="44" t="str">
        <f t="shared" si="53"/>
        <v>7C</v>
      </c>
      <c r="T127" s="7"/>
      <c r="U127" s="13">
        <v>1</v>
      </c>
      <c r="V127" s="13">
        <v>1</v>
      </c>
      <c r="W127" s="7"/>
      <c r="X127" s="1">
        <f t="shared" si="35"/>
        <v>0</v>
      </c>
      <c r="Y127" s="1">
        <f t="shared" si="36"/>
        <v>0</v>
      </c>
      <c r="Z127" s="1" t="b">
        <f t="shared" si="37"/>
        <v>0</v>
      </c>
      <c r="AA127" s="1" t="str">
        <f t="shared" si="38"/>
        <v>2Tie</v>
      </c>
      <c r="AB127" s="1" t="str">
        <f t="shared" si="39"/>
        <v>Wrong</v>
      </c>
    </row>
    <row r="128" spans="1:28" x14ac:dyDescent="0.25">
      <c r="A128" s="2">
        <f t="shared" si="23"/>
        <v>124</v>
      </c>
      <c r="B128" s="44" t="str">
        <f t="shared" si="44"/>
        <v>6H</v>
      </c>
      <c r="C128" s="44" t="str">
        <f t="shared" si="45"/>
        <v>8S</v>
      </c>
      <c r="D128" s="44" t="str">
        <f t="shared" si="46"/>
        <v>7H</v>
      </c>
      <c r="E128" s="44" t="str">
        <f t="shared" si="47"/>
        <v>2S</v>
      </c>
      <c r="F128" s="44" t="str">
        <f t="shared" si="48"/>
        <v>2H</v>
      </c>
      <c r="I128" s="45">
        <f t="shared" si="40"/>
        <v>2</v>
      </c>
      <c r="J128" s="45">
        <f t="shared" si="41"/>
        <v>1</v>
      </c>
      <c r="K128" s="45">
        <f t="shared" si="42"/>
        <v>2</v>
      </c>
      <c r="L128" s="45">
        <f t="shared" si="43"/>
        <v>2</v>
      </c>
      <c r="M128" s="1" t="str">
        <f t="shared" si="24"/>
        <v>Tie</v>
      </c>
      <c r="O128" s="44" t="str">
        <f t="shared" si="49"/>
        <v>2D</v>
      </c>
      <c r="P128" s="44" t="str">
        <f t="shared" si="50"/>
        <v>2C</v>
      </c>
      <c r="Q128" s="44" t="str">
        <f t="shared" si="51"/>
        <v>3H</v>
      </c>
      <c r="R128" s="44" t="str">
        <f t="shared" si="52"/>
        <v>8D</v>
      </c>
      <c r="S128" s="44" t="str">
        <f t="shared" si="53"/>
        <v>6C</v>
      </c>
      <c r="T128" s="7"/>
      <c r="U128" s="13">
        <v>1</v>
      </c>
      <c r="V128" s="13">
        <v>1</v>
      </c>
      <c r="W128" s="7"/>
      <c r="X128" s="1">
        <f t="shared" si="35"/>
        <v>0</v>
      </c>
      <c r="Y128" s="1">
        <f t="shared" si="36"/>
        <v>1</v>
      </c>
      <c r="Z128" s="1" t="b">
        <f t="shared" si="37"/>
        <v>0</v>
      </c>
      <c r="AA128" s="1" t="str">
        <f t="shared" si="38"/>
        <v>2Tie</v>
      </c>
      <c r="AB128" s="1" t="str">
        <f t="shared" si="39"/>
        <v>Wrong</v>
      </c>
    </row>
    <row r="129" spans="1:28" x14ac:dyDescent="0.25">
      <c r="A129" s="2">
        <f t="shared" si="23"/>
        <v>125</v>
      </c>
      <c r="B129" s="44" t="str">
        <f t="shared" si="44"/>
        <v>AS</v>
      </c>
      <c r="C129" s="44" t="str">
        <f t="shared" si="45"/>
        <v>JS</v>
      </c>
      <c r="D129" s="44" t="str">
        <f t="shared" si="46"/>
        <v>QS</v>
      </c>
      <c r="E129" s="44" t="str">
        <f t="shared" si="47"/>
        <v>7S</v>
      </c>
      <c r="F129" s="44" t="str">
        <f t="shared" si="48"/>
        <v>8C</v>
      </c>
      <c r="I129" s="45">
        <f t="shared" si="40"/>
        <v>1</v>
      </c>
      <c r="J129" s="45">
        <f t="shared" si="41"/>
        <v>1</v>
      </c>
      <c r="K129" s="45">
        <f t="shared" si="42"/>
        <v>1</v>
      </c>
      <c r="L129" s="45">
        <f t="shared" si="43"/>
        <v>1</v>
      </c>
      <c r="M129" s="1" t="str">
        <f t="shared" si="24"/>
        <v>Tie</v>
      </c>
      <c r="O129" s="44" t="str">
        <f t="shared" si="49"/>
        <v>2D</v>
      </c>
      <c r="P129" s="44" t="str">
        <f t="shared" si="50"/>
        <v>JH</v>
      </c>
      <c r="Q129" s="44" t="str">
        <f t="shared" si="51"/>
        <v>6H</v>
      </c>
      <c r="R129" s="44" t="str">
        <f t="shared" si="52"/>
        <v>QC</v>
      </c>
      <c r="S129" s="44" t="str">
        <f t="shared" si="53"/>
        <v>9H</v>
      </c>
      <c r="T129" s="7"/>
      <c r="U129" s="13">
        <v>1</v>
      </c>
      <c r="V129" s="13">
        <v>1</v>
      </c>
      <c r="W129" s="7"/>
      <c r="X129" s="1">
        <f t="shared" si="35"/>
        <v>1</v>
      </c>
      <c r="Y129" s="1">
        <f t="shared" si="36"/>
        <v>1</v>
      </c>
      <c r="Z129" s="1" t="b">
        <f t="shared" si="37"/>
        <v>1</v>
      </c>
      <c r="AA129" s="1" t="str">
        <f t="shared" si="38"/>
        <v>1Tie</v>
      </c>
      <c r="AB129" s="1" t="str">
        <f t="shared" si="39"/>
        <v>1Tie</v>
      </c>
    </row>
    <row r="130" spans="1:28" x14ac:dyDescent="0.25">
      <c r="A130" s="2">
        <f t="shared" si="23"/>
        <v>126</v>
      </c>
      <c r="B130" s="44" t="str">
        <f t="shared" si="44"/>
        <v>JC</v>
      </c>
      <c r="C130" s="44" t="str">
        <f t="shared" si="45"/>
        <v>2D</v>
      </c>
      <c r="D130" s="44" t="str">
        <f t="shared" si="46"/>
        <v>4S</v>
      </c>
      <c r="E130" s="44" t="str">
        <f t="shared" si="47"/>
        <v>AC</v>
      </c>
      <c r="F130" s="44" t="str">
        <f t="shared" si="48"/>
        <v>8C</v>
      </c>
      <c r="I130" s="45">
        <f t="shared" si="40"/>
        <v>1</v>
      </c>
      <c r="J130" s="45">
        <f t="shared" si="41"/>
        <v>1</v>
      </c>
      <c r="K130" s="45">
        <f t="shared" si="42"/>
        <v>1</v>
      </c>
      <c r="L130" s="45">
        <f t="shared" si="43"/>
        <v>1</v>
      </c>
      <c r="M130" s="1" t="str">
        <f t="shared" si="24"/>
        <v>Tie</v>
      </c>
      <c r="O130" s="44" t="str">
        <f t="shared" si="49"/>
        <v>10H</v>
      </c>
      <c r="P130" s="44" t="str">
        <f t="shared" si="50"/>
        <v>4C</v>
      </c>
      <c r="Q130" s="44" t="str">
        <f t="shared" si="51"/>
        <v>AD</v>
      </c>
      <c r="R130" s="44" t="str">
        <f t="shared" si="52"/>
        <v>6S</v>
      </c>
      <c r="S130" s="44" t="str">
        <f t="shared" si="53"/>
        <v>2H</v>
      </c>
      <c r="T130" s="7"/>
      <c r="U130" s="13">
        <v>1</v>
      </c>
      <c r="V130" s="13">
        <v>1</v>
      </c>
      <c r="W130" s="7"/>
      <c r="X130" s="1">
        <f t="shared" si="35"/>
        <v>1</v>
      </c>
      <c r="Y130" s="1">
        <f t="shared" si="36"/>
        <v>1</v>
      </c>
      <c r="Z130" s="1" t="b">
        <f t="shared" si="37"/>
        <v>1</v>
      </c>
      <c r="AA130" s="1" t="str">
        <f t="shared" si="38"/>
        <v>1Tie</v>
      </c>
      <c r="AB130" s="1" t="str">
        <f t="shared" si="39"/>
        <v>1Tie</v>
      </c>
    </row>
    <row r="131" spans="1:28" x14ac:dyDescent="0.25">
      <c r="A131" s="2">
        <f t="shared" si="23"/>
        <v>127</v>
      </c>
      <c r="B131" s="44" t="str">
        <f t="shared" si="44"/>
        <v>3C</v>
      </c>
      <c r="C131" s="44" t="str">
        <f t="shared" si="45"/>
        <v>7H</v>
      </c>
      <c r="D131" s="44" t="str">
        <f t="shared" si="46"/>
        <v>2S</v>
      </c>
      <c r="E131" s="44" t="str">
        <f t="shared" si="47"/>
        <v>JH</v>
      </c>
      <c r="F131" s="44" t="str">
        <f t="shared" si="48"/>
        <v>10H</v>
      </c>
      <c r="I131" s="45">
        <f t="shared" si="40"/>
        <v>1</v>
      </c>
      <c r="J131" s="45">
        <f t="shared" si="41"/>
        <v>2</v>
      </c>
      <c r="K131" s="45">
        <f t="shared" si="42"/>
        <v>1</v>
      </c>
      <c r="L131" s="45">
        <f t="shared" si="43"/>
        <v>1</v>
      </c>
      <c r="M131" s="1" t="str">
        <f t="shared" si="24"/>
        <v>Tie</v>
      </c>
      <c r="O131" s="44" t="str">
        <f t="shared" si="49"/>
        <v>6S</v>
      </c>
      <c r="P131" s="44" t="str">
        <f t="shared" si="50"/>
        <v>QD</v>
      </c>
      <c r="Q131" s="44" t="str">
        <f t="shared" si="51"/>
        <v>5H</v>
      </c>
      <c r="R131" s="44" t="str">
        <f t="shared" si="52"/>
        <v>9C</v>
      </c>
      <c r="S131" s="44" t="str">
        <f t="shared" si="53"/>
        <v>4D</v>
      </c>
      <c r="T131" s="7"/>
      <c r="U131" s="13">
        <v>1</v>
      </c>
      <c r="V131" s="13">
        <v>1</v>
      </c>
      <c r="W131" s="7"/>
      <c r="X131" s="1">
        <f t="shared" si="35"/>
        <v>1</v>
      </c>
      <c r="Y131" s="1">
        <f t="shared" si="36"/>
        <v>0</v>
      </c>
      <c r="Z131" s="1" t="b">
        <f t="shared" si="37"/>
        <v>0</v>
      </c>
      <c r="AA131" s="1" t="str">
        <f t="shared" si="38"/>
        <v>1Tie</v>
      </c>
      <c r="AB131" s="1" t="str">
        <f t="shared" si="39"/>
        <v>Wrong</v>
      </c>
    </row>
    <row r="132" spans="1:28" x14ac:dyDescent="0.25">
      <c r="A132" s="2">
        <f t="shared" si="23"/>
        <v>128</v>
      </c>
      <c r="B132" s="44" t="str">
        <f t="shared" si="44"/>
        <v>10C</v>
      </c>
      <c r="C132" s="44" t="str">
        <f t="shared" si="45"/>
        <v>8C</v>
      </c>
      <c r="D132" s="44" t="str">
        <f t="shared" si="46"/>
        <v>5D</v>
      </c>
      <c r="E132" s="44" t="str">
        <f t="shared" si="47"/>
        <v>QH</v>
      </c>
      <c r="F132" s="44" t="str">
        <f t="shared" si="48"/>
        <v>AS</v>
      </c>
      <c r="I132" s="45">
        <f t="shared" si="40"/>
        <v>1</v>
      </c>
      <c r="J132" s="45">
        <f t="shared" si="41"/>
        <v>1</v>
      </c>
      <c r="K132" s="45">
        <f t="shared" si="42"/>
        <v>1</v>
      </c>
      <c r="L132" s="45">
        <f t="shared" si="43"/>
        <v>1</v>
      </c>
      <c r="M132" s="1" t="str">
        <f t="shared" si="24"/>
        <v>Tie</v>
      </c>
      <c r="O132" s="44" t="str">
        <f t="shared" si="49"/>
        <v>10H</v>
      </c>
      <c r="P132" s="44" t="str">
        <f t="shared" si="50"/>
        <v>KD</v>
      </c>
      <c r="Q132" s="44" t="str">
        <f t="shared" si="51"/>
        <v>8D</v>
      </c>
      <c r="R132" s="44" t="str">
        <f t="shared" si="52"/>
        <v>2C</v>
      </c>
      <c r="S132" s="44" t="str">
        <f t="shared" si="53"/>
        <v>3S</v>
      </c>
      <c r="T132" s="7"/>
      <c r="U132" s="13">
        <v>1</v>
      </c>
      <c r="V132" s="13">
        <v>1</v>
      </c>
      <c r="W132" s="7"/>
      <c r="X132" s="1">
        <f t="shared" si="35"/>
        <v>1</v>
      </c>
      <c r="Y132" s="1">
        <f t="shared" si="36"/>
        <v>1</v>
      </c>
      <c r="Z132" s="1" t="b">
        <f t="shared" si="37"/>
        <v>1</v>
      </c>
      <c r="AA132" s="1" t="str">
        <f t="shared" si="38"/>
        <v>1Tie</v>
      </c>
      <c r="AB132" s="1" t="str">
        <f t="shared" si="39"/>
        <v>1Tie</v>
      </c>
    </row>
    <row r="133" spans="1:28" x14ac:dyDescent="0.25">
      <c r="A133" s="2">
        <f t="shared" si="23"/>
        <v>129</v>
      </c>
      <c r="B133" s="44" t="str">
        <f t="shared" si="44"/>
        <v>QC</v>
      </c>
      <c r="C133" s="44" t="str">
        <f t="shared" si="45"/>
        <v>4C</v>
      </c>
      <c r="D133" s="44" t="str">
        <f t="shared" si="46"/>
        <v>JC</v>
      </c>
      <c r="E133" s="44" t="str">
        <f t="shared" si="47"/>
        <v>9D</v>
      </c>
      <c r="F133" s="44" t="str">
        <f t="shared" si="48"/>
        <v>10H</v>
      </c>
      <c r="I133" s="45">
        <f t="shared" si="40"/>
        <v>1</v>
      </c>
      <c r="J133" s="45">
        <f t="shared" si="41"/>
        <v>1</v>
      </c>
      <c r="K133" s="45">
        <f t="shared" si="42"/>
        <v>1</v>
      </c>
      <c r="L133" s="45">
        <f t="shared" si="43"/>
        <v>1</v>
      </c>
      <c r="M133" s="1" t="str">
        <f t="shared" si="24"/>
        <v>Tie</v>
      </c>
      <c r="O133" s="44" t="str">
        <f t="shared" si="49"/>
        <v>6S</v>
      </c>
      <c r="P133" s="44" t="str">
        <f t="shared" si="50"/>
        <v>8C</v>
      </c>
      <c r="Q133" s="44" t="str">
        <f t="shared" si="51"/>
        <v>2S</v>
      </c>
      <c r="R133" s="44" t="str">
        <f t="shared" si="52"/>
        <v>10D</v>
      </c>
      <c r="S133" s="44" t="str">
        <f t="shared" si="53"/>
        <v>JD</v>
      </c>
      <c r="T133" s="7"/>
      <c r="U133" s="13">
        <v>1</v>
      </c>
      <c r="V133" s="13">
        <v>1</v>
      </c>
      <c r="W133" s="7"/>
      <c r="X133" s="1">
        <f t="shared" si="35"/>
        <v>1</v>
      </c>
      <c r="Y133" s="1">
        <f t="shared" si="36"/>
        <v>1</v>
      </c>
      <c r="Z133" s="1" t="b">
        <f t="shared" si="37"/>
        <v>1</v>
      </c>
      <c r="AA133" s="1" t="str">
        <f t="shared" si="38"/>
        <v>1Tie</v>
      </c>
      <c r="AB133" s="1" t="str">
        <f t="shared" si="39"/>
        <v>1Tie</v>
      </c>
    </row>
    <row r="134" spans="1:28" x14ac:dyDescent="0.25">
      <c r="A134" s="2">
        <f t="shared" ref="A134:A150" si="54">A133+1</f>
        <v>130</v>
      </c>
      <c r="B134" s="44" t="str">
        <f t="shared" si="44"/>
        <v>6C</v>
      </c>
      <c r="C134" s="44" t="str">
        <f t="shared" si="45"/>
        <v>KH</v>
      </c>
      <c r="D134" s="44" t="str">
        <f t="shared" si="46"/>
        <v>10D</v>
      </c>
      <c r="E134" s="44" t="str">
        <f t="shared" si="47"/>
        <v>9D</v>
      </c>
      <c r="F134" s="44" t="str">
        <f t="shared" si="48"/>
        <v>8S</v>
      </c>
      <c r="I134" s="45">
        <f t="shared" si="40"/>
        <v>1</v>
      </c>
      <c r="J134" s="45">
        <f t="shared" si="41"/>
        <v>1</v>
      </c>
      <c r="K134" s="45">
        <f t="shared" si="42"/>
        <v>1</v>
      </c>
      <c r="L134" s="45">
        <f t="shared" si="43"/>
        <v>1</v>
      </c>
      <c r="M134" s="1" t="str">
        <f t="shared" si="24"/>
        <v>Tie</v>
      </c>
      <c r="O134" s="44" t="str">
        <f t="shared" si="49"/>
        <v>7H</v>
      </c>
      <c r="P134" s="44" t="str">
        <f t="shared" si="50"/>
        <v>5C</v>
      </c>
      <c r="Q134" s="44" t="str">
        <f t="shared" si="51"/>
        <v>4H</v>
      </c>
      <c r="R134" s="44" t="str">
        <f t="shared" si="52"/>
        <v>9C</v>
      </c>
      <c r="S134" s="44" t="str">
        <f t="shared" si="53"/>
        <v>10H</v>
      </c>
      <c r="T134" s="7"/>
      <c r="U134" s="13">
        <v>1</v>
      </c>
      <c r="V134" s="13">
        <v>1</v>
      </c>
      <c r="W134" s="7"/>
      <c r="X134" s="1">
        <f t="shared" si="35"/>
        <v>1</v>
      </c>
      <c r="Y134" s="1">
        <f t="shared" si="36"/>
        <v>1</v>
      </c>
      <c r="Z134" s="1" t="b">
        <f t="shared" si="37"/>
        <v>1</v>
      </c>
      <c r="AA134" s="1" t="str">
        <f t="shared" si="38"/>
        <v>1Tie</v>
      </c>
      <c r="AB134" s="1" t="str">
        <f t="shared" si="39"/>
        <v>1Tie</v>
      </c>
    </row>
    <row r="135" spans="1:28" x14ac:dyDescent="0.25">
      <c r="A135" s="2">
        <f t="shared" si="54"/>
        <v>131</v>
      </c>
      <c r="B135" s="44" t="str">
        <f t="shared" si="44"/>
        <v>2C</v>
      </c>
      <c r="C135" s="44" t="str">
        <f t="shared" si="45"/>
        <v>KS</v>
      </c>
      <c r="D135" s="44" t="str">
        <f t="shared" si="46"/>
        <v>8S</v>
      </c>
      <c r="E135" s="44" t="str">
        <f t="shared" si="47"/>
        <v>9D</v>
      </c>
      <c r="F135" s="44" t="str">
        <f t="shared" si="48"/>
        <v>QC</v>
      </c>
      <c r="I135" s="45">
        <f t="shared" si="40"/>
        <v>1</v>
      </c>
      <c r="J135" s="45">
        <f t="shared" si="41"/>
        <v>1</v>
      </c>
      <c r="K135" s="45">
        <f t="shared" si="42"/>
        <v>1</v>
      </c>
      <c r="L135" s="45">
        <f t="shared" si="43"/>
        <v>1</v>
      </c>
      <c r="M135" s="1" t="str">
        <f t="shared" si="24"/>
        <v>Tie</v>
      </c>
      <c r="O135" s="44" t="str">
        <f t="shared" si="49"/>
        <v>4H</v>
      </c>
      <c r="P135" s="44" t="str">
        <f t="shared" si="50"/>
        <v>JC</v>
      </c>
      <c r="Q135" s="44" t="str">
        <f t="shared" si="51"/>
        <v>6H</v>
      </c>
      <c r="R135" s="44" t="str">
        <f t="shared" si="52"/>
        <v>8H</v>
      </c>
      <c r="S135" s="44" t="str">
        <f t="shared" si="53"/>
        <v>7H</v>
      </c>
      <c r="T135" s="7"/>
      <c r="U135" s="13">
        <v>1</v>
      </c>
      <c r="V135" s="13">
        <v>1</v>
      </c>
      <c r="W135" s="7"/>
      <c r="X135" s="1">
        <f t="shared" si="35"/>
        <v>1</v>
      </c>
      <c r="Y135" s="1">
        <f t="shared" si="36"/>
        <v>1</v>
      </c>
      <c r="Z135" s="1" t="b">
        <f t="shared" si="37"/>
        <v>1</v>
      </c>
      <c r="AA135" s="1" t="str">
        <f t="shared" si="38"/>
        <v>1Tie</v>
      </c>
      <c r="AB135" s="1" t="str">
        <f t="shared" si="39"/>
        <v>1Tie</v>
      </c>
    </row>
    <row r="136" spans="1:28" x14ac:dyDescent="0.25">
      <c r="A136" s="2">
        <f t="shared" si="54"/>
        <v>132</v>
      </c>
      <c r="B136" s="44" t="str">
        <f t="shared" si="44"/>
        <v>KS</v>
      </c>
      <c r="C136" s="44" t="str">
        <f t="shared" si="45"/>
        <v>3D</v>
      </c>
      <c r="D136" s="44" t="str">
        <f t="shared" si="46"/>
        <v>AS</v>
      </c>
      <c r="E136" s="44" t="str">
        <f t="shared" si="47"/>
        <v>7D</v>
      </c>
      <c r="F136" s="44" t="str">
        <f t="shared" si="48"/>
        <v>QH</v>
      </c>
      <c r="I136" s="45">
        <f t="shared" si="40"/>
        <v>1</v>
      </c>
      <c r="J136" s="45">
        <f t="shared" si="41"/>
        <v>1</v>
      </c>
      <c r="K136" s="45">
        <f t="shared" si="42"/>
        <v>1</v>
      </c>
      <c r="L136" s="45">
        <f t="shared" si="43"/>
        <v>1</v>
      </c>
      <c r="M136" s="1" t="str">
        <f t="shared" ref="M136:M150" si="55">IF(J136=0,"DH",IF(K136=L136,"Tie",""))</f>
        <v>Tie</v>
      </c>
      <c r="O136" s="44" t="str">
        <f t="shared" si="49"/>
        <v>KH</v>
      </c>
      <c r="P136" s="44" t="str">
        <f t="shared" si="50"/>
        <v>QC</v>
      </c>
      <c r="Q136" s="44" t="str">
        <f t="shared" si="51"/>
        <v>JC</v>
      </c>
      <c r="R136" s="44" t="str">
        <f t="shared" si="52"/>
        <v>5C</v>
      </c>
      <c r="S136" s="44" t="str">
        <f t="shared" si="53"/>
        <v>6H</v>
      </c>
      <c r="T136" s="7"/>
      <c r="U136" s="13">
        <v>1</v>
      </c>
      <c r="V136" s="13">
        <v>1</v>
      </c>
      <c r="W136" s="7"/>
      <c r="X136" s="1">
        <f t="shared" si="35"/>
        <v>1</v>
      </c>
      <c r="Y136" s="1">
        <f t="shared" si="36"/>
        <v>1</v>
      </c>
      <c r="Z136" s="1" t="b">
        <f t="shared" si="37"/>
        <v>1</v>
      </c>
      <c r="AA136" s="1" t="str">
        <f t="shared" si="38"/>
        <v>1Tie</v>
      </c>
      <c r="AB136" s="1" t="str">
        <f t="shared" si="39"/>
        <v>1Tie</v>
      </c>
    </row>
    <row r="137" spans="1:28" x14ac:dyDescent="0.25">
      <c r="A137" s="2">
        <f t="shared" si="54"/>
        <v>133</v>
      </c>
      <c r="B137" s="44" t="str">
        <f t="shared" si="44"/>
        <v>KS</v>
      </c>
      <c r="C137" s="44" t="str">
        <f t="shared" si="45"/>
        <v>10S</v>
      </c>
      <c r="D137" s="44" t="str">
        <f t="shared" si="46"/>
        <v>AS</v>
      </c>
      <c r="E137" s="44" t="str">
        <f t="shared" si="47"/>
        <v>QS</v>
      </c>
      <c r="F137" s="44" t="str">
        <f t="shared" si="48"/>
        <v>JS</v>
      </c>
      <c r="I137" s="45">
        <f t="shared" si="40"/>
        <v>10</v>
      </c>
      <c r="J137" s="45">
        <f t="shared" si="41"/>
        <v>0</v>
      </c>
      <c r="K137" s="45">
        <f t="shared" si="42"/>
        <v>10</v>
      </c>
      <c r="L137" s="45">
        <f t="shared" si="43"/>
        <v>10</v>
      </c>
      <c r="M137" s="1" t="str">
        <f t="shared" si="55"/>
        <v>DH</v>
      </c>
      <c r="O137" s="44" t="str">
        <f t="shared" si="49"/>
        <v>10C</v>
      </c>
      <c r="P137" s="44" t="str">
        <f t="shared" si="50"/>
        <v>JC</v>
      </c>
      <c r="Q137" s="44" t="str">
        <f t="shared" si="51"/>
        <v>AC</v>
      </c>
      <c r="R137" s="44" t="str">
        <f t="shared" si="52"/>
        <v>QC</v>
      </c>
      <c r="S137" s="44" t="str">
        <f t="shared" si="53"/>
        <v>KC</v>
      </c>
      <c r="T137" s="7"/>
      <c r="U137" s="13">
        <v>1</v>
      </c>
      <c r="V137" s="13">
        <v>1</v>
      </c>
      <c r="W137" s="7"/>
      <c r="X137" s="1">
        <f t="shared" si="35"/>
        <v>0</v>
      </c>
      <c r="Y137" s="1">
        <f t="shared" si="36"/>
        <v>0</v>
      </c>
      <c r="Z137" s="1" t="b">
        <f t="shared" si="37"/>
        <v>0</v>
      </c>
      <c r="AA137" s="1" t="str">
        <f t="shared" si="38"/>
        <v>10DH</v>
      </c>
      <c r="AB137" s="1" t="str">
        <f t="shared" si="39"/>
        <v>Wrong</v>
      </c>
    </row>
    <row r="138" spans="1:28" x14ac:dyDescent="0.25">
      <c r="A138" s="2">
        <f t="shared" si="54"/>
        <v>134</v>
      </c>
      <c r="B138" s="44" t="str">
        <f t="shared" si="44"/>
        <v>KS</v>
      </c>
      <c r="C138" s="44" t="str">
        <f t="shared" si="45"/>
        <v>10S</v>
      </c>
      <c r="D138" s="44" t="str">
        <f t="shared" si="46"/>
        <v>AS</v>
      </c>
      <c r="E138" s="44" t="str">
        <f t="shared" si="47"/>
        <v>QS</v>
      </c>
      <c r="F138" s="44" t="str">
        <f t="shared" si="48"/>
        <v>JS</v>
      </c>
      <c r="I138" s="45">
        <f t="shared" si="40"/>
        <v>10</v>
      </c>
      <c r="J138" s="45">
        <f t="shared" si="41"/>
        <v>0</v>
      </c>
      <c r="K138" s="45">
        <f t="shared" si="42"/>
        <v>10</v>
      </c>
      <c r="L138" s="45">
        <f t="shared" si="43"/>
        <v>10</v>
      </c>
      <c r="M138" s="1" t="str">
        <f t="shared" si="55"/>
        <v>DH</v>
      </c>
      <c r="O138" s="44" t="str">
        <f t="shared" si="49"/>
        <v>10D</v>
      </c>
      <c r="P138" s="44" t="str">
        <f t="shared" si="50"/>
        <v>JD</v>
      </c>
      <c r="Q138" s="44" t="str">
        <f t="shared" si="51"/>
        <v>AD</v>
      </c>
      <c r="R138" s="44" t="str">
        <f t="shared" si="52"/>
        <v>QD</v>
      </c>
      <c r="S138" s="44" t="str">
        <f t="shared" si="53"/>
        <v>KD</v>
      </c>
      <c r="T138" s="7"/>
      <c r="U138" s="13">
        <v>1</v>
      </c>
      <c r="V138" s="13">
        <v>1</v>
      </c>
      <c r="W138" s="7"/>
      <c r="X138" s="1">
        <f t="shared" si="35"/>
        <v>0</v>
      </c>
      <c r="Y138" s="1">
        <f t="shared" si="36"/>
        <v>0</v>
      </c>
      <c r="Z138" s="1" t="b">
        <f t="shared" si="37"/>
        <v>0</v>
      </c>
      <c r="AA138" s="1" t="str">
        <f t="shared" si="38"/>
        <v>10DH</v>
      </c>
      <c r="AB138" s="1" t="str">
        <f t="shared" si="39"/>
        <v>Wrong</v>
      </c>
    </row>
    <row r="139" spans="1:28" x14ac:dyDescent="0.25">
      <c r="A139" s="2">
        <f t="shared" si="54"/>
        <v>135</v>
      </c>
      <c r="B139" s="44" t="str">
        <f t="shared" si="44"/>
        <v>AD</v>
      </c>
      <c r="C139" s="44" t="str">
        <f t="shared" si="45"/>
        <v>3D</v>
      </c>
      <c r="D139" s="44" t="str">
        <f t="shared" si="46"/>
        <v>5D</v>
      </c>
      <c r="E139" s="44" t="str">
        <f t="shared" si="47"/>
        <v>2D</v>
      </c>
      <c r="F139" s="44" t="str">
        <f t="shared" si="48"/>
        <v>4D</v>
      </c>
      <c r="I139" s="45">
        <f t="shared" si="40"/>
        <v>9</v>
      </c>
      <c r="J139" s="45">
        <f t="shared" si="41"/>
        <v>0</v>
      </c>
      <c r="K139" s="45">
        <f t="shared" si="42"/>
        <v>9</v>
      </c>
      <c r="L139" s="45">
        <f t="shared" si="43"/>
        <v>9</v>
      </c>
      <c r="M139" s="1" t="str">
        <f t="shared" si="55"/>
        <v>DH</v>
      </c>
      <c r="O139" s="44" t="str">
        <f t="shared" si="49"/>
        <v>2C</v>
      </c>
      <c r="P139" s="44" t="str">
        <f t="shared" si="50"/>
        <v>4C</v>
      </c>
      <c r="Q139" s="44" t="str">
        <f t="shared" si="51"/>
        <v>5C</v>
      </c>
      <c r="R139" s="44" t="str">
        <f t="shared" si="52"/>
        <v>3C</v>
      </c>
      <c r="S139" s="44" t="str">
        <f t="shared" si="53"/>
        <v>AC</v>
      </c>
      <c r="T139" s="7"/>
      <c r="U139" s="13">
        <v>1</v>
      </c>
      <c r="V139" s="13">
        <v>1</v>
      </c>
      <c r="W139" s="7"/>
      <c r="X139" s="1">
        <f t="shared" si="35"/>
        <v>0</v>
      </c>
      <c r="Y139" s="1">
        <f t="shared" si="36"/>
        <v>0</v>
      </c>
      <c r="Z139" s="1" t="b">
        <f t="shared" si="37"/>
        <v>0</v>
      </c>
      <c r="AA139" s="1" t="str">
        <f t="shared" si="38"/>
        <v>9DH</v>
      </c>
      <c r="AB139" s="1" t="str">
        <f t="shared" si="39"/>
        <v>Wrong</v>
      </c>
    </row>
    <row r="140" spans="1:28" x14ac:dyDescent="0.25">
      <c r="A140" s="2">
        <f t="shared" si="54"/>
        <v>136</v>
      </c>
      <c r="B140" s="44" t="str">
        <f t="shared" si="44"/>
        <v>6S</v>
      </c>
      <c r="C140" s="44" t="str">
        <f t="shared" si="45"/>
        <v>3S</v>
      </c>
      <c r="D140" s="44" t="str">
        <f t="shared" si="46"/>
        <v>5S</v>
      </c>
      <c r="E140" s="44" t="str">
        <f t="shared" si="47"/>
        <v>2S</v>
      </c>
      <c r="F140" s="44" t="str">
        <f t="shared" si="48"/>
        <v>4S</v>
      </c>
      <c r="I140" s="45">
        <f t="shared" si="40"/>
        <v>9</v>
      </c>
      <c r="J140" s="45">
        <f t="shared" si="41"/>
        <v>0</v>
      </c>
      <c r="K140" s="45">
        <f t="shared" si="42"/>
        <v>9</v>
      </c>
      <c r="L140" s="45">
        <f t="shared" si="43"/>
        <v>9</v>
      </c>
      <c r="M140" s="1" t="str">
        <f t="shared" si="55"/>
        <v>DH</v>
      </c>
      <c r="O140" s="44" t="str">
        <f t="shared" si="49"/>
        <v>2C</v>
      </c>
      <c r="P140" s="44" t="str">
        <f t="shared" si="50"/>
        <v>4C</v>
      </c>
      <c r="Q140" s="44" t="str">
        <f t="shared" si="51"/>
        <v>5C</v>
      </c>
      <c r="R140" s="44" t="str">
        <f t="shared" si="52"/>
        <v>3C</v>
      </c>
      <c r="S140" s="44" t="str">
        <f t="shared" si="53"/>
        <v>6C</v>
      </c>
      <c r="T140" s="7"/>
      <c r="U140" s="13">
        <v>1</v>
      </c>
      <c r="V140" s="13">
        <v>1</v>
      </c>
      <c r="W140" s="7"/>
      <c r="X140" s="1">
        <f t="shared" si="35"/>
        <v>0</v>
      </c>
      <c r="Y140" s="1">
        <f t="shared" si="36"/>
        <v>0</v>
      </c>
      <c r="Z140" s="1" t="b">
        <f t="shared" si="37"/>
        <v>0</v>
      </c>
      <c r="AA140" s="1" t="str">
        <f t="shared" si="38"/>
        <v>9DH</v>
      </c>
      <c r="AB140" s="1" t="str">
        <f t="shared" si="39"/>
        <v>Wrong</v>
      </c>
    </row>
    <row r="141" spans="1:28" x14ac:dyDescent="0.25">
      <c r="A141" s="2">
        <f t="shared" si="54"/>
        <v>137</v>
      </c>
      <c r="B141" s="44" t="str">
        <f t="shared" si="44"/>
        <v>4H</v>
      </c>
      <c r="C141" s="44" t="str">
        <f t="shared" si="45"/>
        <v>2H</v>
      </c>
      <c r="D141" s="44" t="str">
        <f t="shared" si="46"/>
        <v>KH</v>
      </c>
      <c r="E141" s="44" t="str">
        <f t="shared" si="47"/>
        <v>5H</v>
      </c>
      <c r="F141" s="44" t="str">
        <f t="shared" si="48"/>
        <v>3H</v>
      </c>
      <c r="I141" s="45">
        <f t="shared" si="40"/>
        <v>6</v>
      </c>
      <c r="J141" s="45">
        <f t="shared" si="41"/>
        <v>0</v>
      </c>
      <c r="K141" s="45">
        <f t="shared" si="42"/>
        <v>6</v>
      </c>
      <c r="L141" s="45">
        <f t="shared" si="43"/>
        <v>6</v>
      </c>
      <c r="M141" s="1" t="str">
        <f t="shared" si="55"/>
        <v>DH</v>
      </c>
      <c r="O141" s="44" t="str">
        <f t="shared" si="49"/>
        <v>5C</v>
      </c>
      <c r="P141" s="44" t="str">
        <f t="shared" si="50"/>
        <v>3C</v>
      </c>
      <c r="Q141" s="44" t="str">
        <f t="shared" si="51"/>
        <v>KC</v>
      </c>
      <c r="R141" s="44" t="str">
        <f t="shared" si="52"/>
        <v>2C</v>
      </c>
      <c r="S141" s="44" t="str">
        <f t="shared" si="53"/>
        <v>4C</v>
      </c>
      <c r="T141" s="7"/>
      <c r="U141" s="13">
        <v>1</v>
      </c>
      <c r="V141" s="13">
        <v>1</v>
      </c>
      <c r="W141" s="7"/>
      <c r="X141" s="1">
        <f t="shared" si="35"/>
        <v>0</v>
      </c>
      <c r="Y141" s="1">
        <f t="shared" si="36"/>
        <v>0</v>
      </c>
      <c r="Z141" s="1" t="b">
        <f t="shared" si="37"/>
        <v>0</v>
      </c>
      <c r="AA141" s="1" t="str">
        <f t="shared" si="38"/>
        <v>6DH</v>
      </c>
      <c r="AB141" s="1" t="str">
        <f t="shared" si="39"/>
        <v>Wrong</v>
      </c>
    </row>
    <row r="142" spans="1:28" x14ac:dyDescent="0.25">
      <c r="A142" s="2">
        <f t="shared" si="54"/>
        <v>138</v>
      </c>
      <c r="B142" s="44" t="str">
        <f t="shared" ref="B142:B150" si="56">R69</f>
        <v>QH</v>
      </c>
      <c r="C142" s="44" t="str">
        <f t="shared" ref="C142:C150" si="57">Q69</f>
        <v>2H</v>
      </c>
      <c r="D142" s="44" t="str">
        <f t="shared" ref="D142:D150" si="58">S69</f>
        <v>4H</v>
      </c>
      <c r="E142" s="44" t="str">
        <f t="shared" ref="E142:E150" si="59">O69</f>
        <v>5H</v>
      </c>
      <c r="F142" s="44" t="str">
        <f t="shared" ref="F142:F150" si="60">P69</f>
        <v>3H</v>
      </c>
      <c r="I142" s="45">
        <f t="shared" si="40"/>
        <v>6</v>
      </c>
      <c r="J142" s="45">
        <f t="shared" si="41"/>
        <v>0</v>
      </c>
      <c r="K142" s="45">
        <f t="shared" si="42"/>
        <v>6</v>
      </c>
      <c r="L142" s="45">
        <f t="shared" si="43"/>
        <v>6</v>
      </c>
      <c r="M142" s="1" t="str">
        <f t="shared" si="55"/>
        <v>DH</v>
      </c>
      <c r="O142" s="44" t="str">
        <f t="shared" ref="O142:O150" si="61">B69</f>
        <v>5C</v>
      </c>
      <c r="P142" s="44" t="str">
        <f t="shared" ref="P142:P150" si="62">C69</f>
        <v>2C</v>
      </c>
      <c r="Q142" s="44" t="str">
        <f t="shared" ref="Q142:Q150" si="63">F69</f>
        <v>QC</v>
      </c>
      <c r="R142" s="44" t="str">
        <f t="shared" ref="R142:R150" si="64">D69</f>
        <v>3C</v>
      </c>
      <c r="S142" s="44" t="str">
        <f t="shared" ref="S142:S150" si="65">E69</f>
        <v>4C</v>
      </c>
      <c r="T142" s="7"/>
      <c r="U142" s="13">
        <v>1</v>
      </c>
      <c r="V142" s="13">
        <v>1</v>
      </c>
      <c r="W142" s="7"/>
      <c r="X142" s="1">
        <f t="shared" ref="X142:X150" si="66">(U142=I142)*1</f>
        <v>0</v>
      </c>
      <c r="Y142" s="1">
        <f t="shared" ref="Y142:Y150" si="67">(V142=J142)*1</f>
        <v>0</v>
      </c>
      <c r="Z142" s="1" t="b">
        <f t="shared" ref="Z142:Z150" si="68">AND(X142,Y142)</f>
        <v>0</v>
      </c>
      <c r="AA142" s="1" t="str">
        <f t="shared" ref="AA142:AA150" si="69">IF(I142=-1,-1,I142&amp;M142)</f>
        <v>6DH</v>
      </c>
      <c r="AB142" s="1" t="str">
        <f t="shared" ref="AB142:AB150" si="70">IF(Z142,AA142,"Wrong")</f>
        <v>Wrong</v>
      </c>
    </row>
    <row r="143" spans="1:28" x14ac:dyDescent="0.25">
      <c r="A143" s="2">
        <f t="shared" si="54"/>
        <v>139</v>
      </c>
      <c r="B143" s="44" t="str">
        <f t="shared" si="56"/>
        <v>AD</v>
      </c>
      <c r="C143" s="44" t="str">
        <f t="shared" si="57"/>
        <v>4C</v>
      </c>
      <c r="D143" s="44" t="str">
        <f t="shared" si="58"/>
        <v>5S</v>
      </c>
      <c r="E143" s="44" t="str">
        <f t="shared" si="59"/>
        <v>2D</v>
      </c>
      <c r="F143" s="44" t="str">
        <f t="shared" si="60"/>
        <v>3H</v>
      </c>
      <c r="I143" s="45">
        <f t="shared" ref="I143:I150" si="71">I70</f>
        <v>5</v>
      </c>
      <c r="J143" s="45">
        <f t="shared" ref="J143:J150" si="72">CHOOSE(J70+2,-1,0,2,1)</f>
        <v>0</v>
      </c>
      <c r="K143" s="45">
        <f t="shared" ref="K143:K150" si="73">L70</f>
        <v>5</v>
      </c>
      <c r="L143" s="45">
        <f t="shared" ref="L143:L150" si="74">K70</f>
        <v>5</v>
      </c>
      <c r="M143" s="1" t="str">
        <f t="shared" si="55"/>
        <v>DH</v>
      </c>
      <c r="O143" s="44" t="str">
        <f t="shared" si="61"/>
        <v>2C</v>
      </c>
      <c r="P143" s="44" t="str">
        <f t="shared" si="62"/>
        <v>3D</v>
      </c>
      <c r="Q143" s="44" t="str">
        <f t="shared" si="63"/>
        <v>5H</v>
      </c>
      <c r="R143" s="44" t="str">
        <f t="shared" si="64"/>
        <v>4H</v>
      </c>
      <c r="S143" s="44" t="str">
        <f t="shared" si="65"/>
        <v>AH</v>
      </c>
      <c r="T143" s="7"/>
      <c r="U143" s="13">
        <v>1</v>
      </c>
      <c r="V143" s="13">
        <v>1</v>
      </c>
      <c r="W143" s="7"/>
      <c r="X143" s="1">
        <f t="shared" si="66"/>
        <v>0</v>
      </c>
      <c r="Y143" s="1">
        <f t="shared" si="67"/>
        <v>0</v>
      </c>
      <c r="Z143" s="1" t="b">
        <f t="shared" si="68"/>
        <v>0</v>
      </c>
      <c r="AA143" s="1" t="str">
        <f t="shared" si="69"/>
        <v>5DH</v>
      </c>
      <c r="AB143" s="1" t="str">
        <f t="shared" si="70"/>
        <v>Wrong</v>
      </c>
    </row>
    <row r="144" spans="1:28" x14ac:dyDescent="0.25">
      <c r="A144" s="2">
        <f t="shared" si="54"/>
        <v>140</v>
      </c>
      <c r="B144" s="44" t="str">
        <f t="shared" si="56"/>
        <v>8C</v>
      </c>
      <c r="C144" s="44" t="str">
        <f t="shared" si="57"/>
        <v>6S</v>
      </c>
      <c r="D144" s="44" t="str">
        <f t="shared" si="58"/>
        <v>7D</v>
      </c>
      <c r="E144" s="44" t="str">
        <f t="shared" si="59"/>
        <v>9H</v>
      </c>
      <c r="F144" s="44" t="str">
        <f t="shared" si="60"/>
        <v>5C</v>
      </c>
      <c r="I144" s="45">
        <f t="shared" si="71"/>
        <v>5</v>
      </c>
      <c r="J144" s="45">
        <f t="shared" si="72"/>
        <v>0</v>
      </c>
      <c r="K144" s="45">
        <f t="shared" si="73"/>
        <v>5</v>
      </c>
      <c r="L144" s="45">
        <f t="shared" si="74"/>
        <v>5</v>
      </c>
      <c r="M144" s="1" t="str">
        <f t="shared" si="55"/>
        <v>DH</v>
      </c>
      <c r="O144" s="44" t="str">
        <f t="shared" si="61"/>
        <v>5D</v>
      </c>
      <c r="P144" s="44" t="str">
        <f t="shared" si="62"/>
        <v>7S</v>
      </c>
      <c r="Q144" s="44" t="str">
        <f t="shared" si="63"/>
        <v>9C</v>
      </c>
      <c r="R144" s="44" t="str">
        <f t="shared" si="64"/>
        <v>6D</v>
      </c>
      <c r="S144" s="44" t="str">
        <f t="shared" si="65"/>
        <v>8D</v>
      </c>
      <c r="T144" s="7"/>
      <c r="U144" s="13">
        <v>1</v>
      </c>
      <c r="V144" s="13">
        <v>1</v>
      </c>
      <c r="W144" s="7"/>
      <c r="X144" s="1">
        <f t="shared" si="66"/>
        <v>0</v>
      </c>
      <c r="Y144" s="1">
        <f t="shared" si="67"/>
        <v>0</v>
      </c>
      <c r="Z144" s="1" t="b">
        <f t="shared" si="68"/>
        <v>0</v>
      </c>
      <c r="AA144" s="1" t="str">
        <f t="shared" si="69"/>
        <v>5DH</v>
      </c>
      <c r="AB144" s="1" t="str">
        <f t="shared" si="70"/>
        <v>Wrong</v>
      </c>
    </row>
    <row r="145" spans="1:28" x14ac:dyDescent="0.25">
      <c r="A145" s="2">
        <f t="shared" si="54"/>
        <v>141</v>
      </c>
      <c r="B145" s="44" t="str">
        <f t="shared" si="56"/>
        <v>5D</v>
      </c>
      <c r="C145" s="44" t="str">
        <f t="shared" si="57"/>
        <v>5H</v>
      </c>
      <c r="D145" s="44" t="str">
        <f t="shared" si="58"/>
        <v>7D</v>
      </c>
      <c r="E145" s="44" t="str">
        <f t="shared" si="59"/>
        <v>8H</v>
      </c>
      <c r="F145" s="44" t="str">
        <f t="shared" si="60"/>
        <v>8S</v>
      </c>
      <c r="I145" s="45">
        <f t="shared" si="71"/>
        <v>3</v>
      </c>
      <c r="J145" s="45">
        <f t="shared" si="72"/>
        <v>0</v>
      </c>
      <c r="K145" s="45">
        <f t="shared" si="73"/>
        <v>3</v>
      </c>
      <c r="L145" s="45">
        <f t="shared" si="74"/>
        <v>3</v>
      </c>
      <c r="M145" s="1" t="str">
        <f t="shared" si="55"/>
        <v>DH</v>
      </c>
      <c r="O145" s="44" t="str">
        <f t="shared" si="61"/>
        <v>7S</v>
      </c>
      <c r="P145" s="44" t="str">
        <f t="shared" si="62"/>
        <v>8C</v>
      </c>
      <c r="Q145" s="44" t="str">
        <f t="shared" si="63"/>
        <v>5S</v>
      </c>
      <c r="R145" s="44" t="str">
        <f t="shared" si="64"/>
        <v>8D</v>
      </c>
      <c r="S145" s="44" t="str">
        <f t="shared" si="65"/>
        <v>5C</v>
      </c>
      <c r="T145" s="7"/>
      <c r="U145" s="13">
        <v>1</v>
      </c>
      <c r="V145" s="13">
        <v>1</v>
      </c>
      <c r="W145" s="7"/>
      <c r="X145" s="1">
        <f t="shared" si="66"/>
        <v>0</v>
      </c>
      <c r="Y145" s="1">
        <f t="shared" si="67"/>
        <v>0</v>
      </c>
      <c r="Z145" s="1" t="b">
        <f t="shared" si="68"/>
        <v>0</v>
      </c>
      <c r="AA145" s="1" t="str">
        <f t="shared" si="69"/>
        <v>3DH</v>
      </c>
      <c r="AB145" s="1" t="str">
        <f t="shared" si="70"/>
        <v>Wrong</v>
      </c>
    </row>
    <row r="146" spans="1:28" x14ac:dyDescent="0.25">
      <c r="A146" s="2">
        <f t="shared" si="54"/>
        <v>142</v>
      </c>
      <c r="B146" s="44" t="str">
        <f t="shared" si="56"/>
        <v>4C</v>
      </c>
      <c r="C146" s="44" t="str">
        <f t="shared" si="57"/>
        <v>3H</v>
      </c>
      <c r="D146" s="44" t="str">
        <f t="shared" si="58"/>
        <v>4H</v>
      </c>
      <c r="E146" s="44" t="str">
        <f t="shared" si="59"/>
        <v>9D</v>
      </c>
      <c r="F146" s="44" t="str">
        <f t="shared" si="60"/>
        <v>3S</v>
      </c>
      <c r="I146" s="45">
        <f t="shared" si="71"/>
        <v>3</v>
      </c>
      <c r="J146" s="45">
        <f t="shared" si="72"/>
        <v>0</v>
      </c>
      <c r="K146" s="45">
        <f t="shared" si="73"/>
        <v>3</v>
      </c>
      <c r="L146" s="45">
        <f t="shared" si="74"/>
        <v>3</v>
      </c>
      <c r="M146" s="1" t="str">
        <f t="shared" si="55"/>
        <v>DH</v>
      </c>
      <c r="O146" s="44" t="str">
        <f t="shared" si="61"/>
        <v>4D</v>
      </c>
      <c r="P146" s="44" t="str">
        <f t="shared" si="62"/>
        <v>3C</v>
      </c>
      <c r="Q146" s="44" t="str">
        <f t="shared" si="63"/>
        <v>9H</v>
      </c>
      <c r="R146" s="44" t="str">
        <f t="shared" si="64"/>
        <v>3D</v>
      </c>
      <c r="S146" s="44" t="str">
        <f t="shared" si="65"/>
        <v>4S</v>
      </c>
      <c r="T146" s="7"/>
      <c r="U146" s="13">
        <v>1</v>
      </c>
      <c r="V146" s="13">
        <v>1</v>
      </c>
      <c r="W146" s="7"/>
      <c r="X146" s="1">
        <f t="shared" si="66"/>
        <v>0</v>
      </c>
      <c r="Y146" s="1">
        <f t="shared" si="67"/>
        <v>0</v>
      </c>
      <c r="Z146" s="1" t="b">
        <f t="shared" si="68"/>
        <v>0</v>
      </c>
      <c r="AA146" s="1" t="str">
        <f t="shared" si="69"/>
        <v>3DH</v>
      </c>
      <c r="AB146" s="1" t="str">
        <f t="shared" si="70"/>
        <v>Wrong</v>
      </c>
    </row>
    <row r="147" spans="1:28" x14ac:dyDescent="0.25">
      <c r="A147" s="2">
        <f t="shared" si="54"/>
        <v>143</v>
      </c>
      <c r="B147" s="44" t="str">
        <f t="shared" si="56"/>
        <v>KD</v>
      </c>
      <c r="C147" s="44" t="str">
        <f t="shared" si="57"/>
        <v>4S</v>
      </c>
      <c r="D147" s="44" t="str">
        <f t="shared" si="58"/>
        <v>5D</v>
      </c>
      <c r="E147" s="44" t="str">
        <f t="shared" si="59"/>
        <v>10D</v>
      </c>
      <c r="F147" s="44" t="str">
        <f t="shared" si="60"/>
        <v>4H</v>
      </c>
      <c r="I147" s="45">
        <f t="shared" si="71"/>
        <v>2</v>
      </c>
      <c r="J147" s="45">
        <f t="shared" si="72"/>
        <v>0</v>
      </c>
      <c r="K147" s="45">
        <f t="shared" si="73"/>
        <v>2</v>
      </c>
      <c r="L147" s="45">
        <f t="shared" si="74"/>
        <v>2</v>
      </c>
      <c r="M147" s="1" t="str">
        <f t="shared" si="55"/>
        <v>DH</v>
      </c>
      <c r="O147" s="44" t="str">
        <f t="shared" si="61"/>
        <v>10C</v>
      </c>
      <c r="P147" s="44" t="str">
        <f t="shared" si="62"/>
        <v>4C</v>
      </c>
      <c r="Q147" s="44" t="str">
        <f t="shared" si="63"/>
        <v>5C</v>
      </c>
      <c r="R147" s="44" t="str">
        <f t="shared" si="64"/>
        <v>4D</v>
      </c>
      <c r="S147" s="44" t="str">
        <f t="shared" si="65"/>
        <v>KH</v>
      </c>
      <c r="T147" s="7"/>
      <c r="U147" s="13">
        <v>1</v>
      </c>
      <c r="V147" s="13">
        <v>1</v>
      </c>
      <c r="W147" s="7"/>
      <c r="X147" s="1">
        <f t="shared" si="66"/>
        <v>0</v>
      </c>
      <c r="Y147" s="1">
        <f t="shared" si="67"/>
        <v>0</v>
      </c>
      <c r="Z147" s="1" t="b">
        <f t="shared" si="68"/>
        <v>0</v>
      </c>
      <c r="AA147" s="1" t="str">
        <f t="shared" si="69"/>
        <v>2DH</v>
      </c>
      <c r="AB147" s="1" t="str">
        <f t="shared" si="70"/>
        <v>Wrong</v>
      </c>
    </row>
    <row r="148" spans="1:28" x14ac:dyDescent="0.25">
      <c r="A148" s="2">
        <f t="shared" si="54"/>
        <v>144</v>
      </c>
      <c r="B148" s="44" t="str">
        <f t="shared" si="56"/>
        <v>2D</v>
      </c>
      <c r="C148" s="44" t="str">
        <f t="shared" si="57"/>
        <v>AH</v>
      </c>
      <c r="D148" s="44" t="str">
        <f t="shared" si="58"/>
        <v>5D</v>
      </c>
      <c r="E148" s="44" t="str">
        <f t="shared" si="59"/>
        <v>KS</v>
      </c>
      <c r="F148" s="44" t="str">
        <f t="shared" si="60"/>
        <v>AS</v>
      </c>
      <c r="I148" s="45">
        <f t="shared" si="71"/>
        <v>2</v>
      </c>
      <c r="J148" s="45">
        <f t="shared" si="72"/>
        <v>0</v>
      </c>
      <c r="K148" s="45">
        <f t="shared" si="73"/>
        <v>2</v>
      </c>
      <c r="L148" s="45">
        <f t="shared" si="74"/>
        <v>2</v>
      </c>
      <c r="M148" s="1" t="str">
        <f t="shared" si="55"/>
        <v>DH</v>
      </c>
      <c r="O148" s="44" t="str">
        <f t="shared" si="61"/>
        <v>KH</v>
      </c>
      <c r="P148" s="44" t="str">
        <f t="shared" si="62"/>
        <v>AC</v>
      </c>
      <c r="Q148" s="44" t="str">
        <f t="shared" si="63"/>
        <v>5C</v>
      </c>
      <c r="R148" s="44" t="str">
        <f t="shared" si="64"/>
        <v>AD</v>
      </c>
      <c r="S148" s="44" t="str">
        <f t="shared" si="65"/>
        <v>2C</v>
      </c>
      <c r="T148" s="7"/>
      <c r="U148" s="13">
        <v>1</v>
      </c>
      <c r="V148" s="13">
        <v>1</v>
      </c>
      <c r="W148" s="7"/>
      <c r="X148" s="1">
        <f t="shared" si="66"/>
        <v>0</v>
      </c>
      <c r="Y148" s="1">
        <f t="shared" si="67"/>
        <v>0</v>
      </c>
      <c r="Z148" s="1" t="b">
        <f t="shared" si="68"/>
        <v>0</v>
      </c>
      <c r="AA148" s="1" t="str">
        <f t="shared" si="69"/>
        <v>2DH</v>
      </c>
      <c r="AB148" s="1" t="str">
        <f t="shared" si="70"/>
        <v>Wrong</v>
      </c>
    </row>
    <row r="149" spans="1:28" x14ac:dyDescent="0.25">
      <c r="A149" s="2">
        <f t="shared" si="54"/>
        <v>145</v>
      </c>
      <c r="B149" s="44" t="str">
        <f t="shared" si="56"/>
        <v>6S</v>
      </c>
      <c r="C149" s="44" t="str">
        <f t="shared" si="57"/>
        <v>QC</v>
      </c>
      <c r="D149" s="44" t="str">
        <f t="shared" si="58"/>
        <v>10D</v>
      </c>
      <c r="E149" s="44" t="str">
        <f t="shared" si="59"/>
        <v>9D</v>
      </c>
      <c r="F149" s="44" t="str">
        <f t="shared" si="60"/>
        <v>4H</v>
      </c>
      <c r="I149" s="45">
        <f t="shared" si="71"/>
        <v>1</v>
      </c>
      <c r="J149" s="45">
        <f t="shared" si="72"/>
        <v>0</v>
      </c>
      <c r="K149" s="45">
        <f t="shared" si="73"/>
        <v>1</v>
      </c>
      <c r="L149" s="45">
        <f t="shared" si="74"/>
        <v>1</v>
      </c>
      <c r="M149" s="1" t="str">
        <f t="shared" si="55"/>
        <v>DH</v>
      </c>
      <c r="O149" s="44" t="str">
        <f t="shared" si="61"/>
        <v>9C</v>
      </c>
      <c r="P149" s="44" t="str">
        <f t="shared" si="62"/>
        <v>4C</v>
      </c>
      <c r="Q149" s="44" t="str">
        <f t="shared" si="63"/>
        <v>10C</v>
      </c>
      <c r="R149" s="44" t="str">
        <f t="shared" si="64"/>
        <v>QH</v>
      </c>
      <c r="S149" s="44" t="str">
        <f t="shared" si="65"/>
        <v>6H</v>
      </c>
      <c r="T149" s="7"/>
      <c r="U149" s="13">
        <v>1</v>
      </c>
      <c r="V149" s="13">
        <v>1</v>
      </c>
      <c r="W149" s="7"/>
      <c r="X149" s="1">
        <f t="shared" si="66"/>
        <v>1</v>
      </c>
      <c r="Y149" s="1">
        <f t="shared" si="67"/>
        <v>0</v>
      </c>
      <c r="Z149" s="1" t="b">
        <f t="shared" si="68"/>
        <v>0</v>
      </c>
      <c r="AA149" s="1" t="str">
        <f t="shared" si="69"/>
        <v>1DH</v>
      </c>
      <c r="AB149" s="1" t="str">
        <f t="shared" si="70"/>
        <v>Wrong</v>
      </c>
    </row>
    <row r="150" spans="1:28" x14ac:dyDescent="0.25">
      <c r="A150" s="2">
        <f t="shared" si="54"/>
        <v>146</v>
      </c>
      <c r="B150" s="44" t="str">
        <f t="shared" si="56"/>
        <v>3D</v>
      </c>
      <c r="C150" s="44" t="str">
        <f t="shared" si="57"/>
        <v>2D</v>
      </c>
      <c r="D150" s="44" t="str">
        <f t="shared" si="58"/>
        <v>5D</v>
      </c>
      <c r="E150" s="44" t="str">
        <f t="shared" si="59"/>
        <v>7C</v>
      </c>
      <c r="F150" s="44" t="str">
        <f t="shared" si="60"/>
        <v>KD</v>
      </c>
      <c r="I150" s="45">
        <f t="shared" si="71"/>
        <v>1</v>
      </c>
      <c r="J150" s="45">
        <f t="shared" si="72"/>
        <v>0</v>
      </c>
      <c r="K150" s="45">
        <f t="shared" si="73"/>
        <v>1</v>
      </c>
      <c r="L150" s="45">
        <f t="shared" si="74"/>
        <v>1</v>
      </c>
      <c r="M150" s="1" t="str">
        <f t="shared" si="55"/>
        <v>DH</v>
      </c>
      <c r="O150" s="44" t="str">
        <f t="shared" si="61"/>
        <v>KC</v>
      </c>
      <c r="P150" s="44" t="str">
        <f t="shared" si="62"/>
        <v>2C</v>
      </c>
      <c r="Q150" s="44" t="str">
        <f t="shared" si="63"/>
        <v>7H</v>
      </c>
      <c r="R150" s="44" t="str">
        <f t="shared" si="64"/>
        <v>3C</v>
      </c>
      <c r="S150" s="44" t="str">
        <f t="shared" si="65"/>
        <v>5C</v>
      </c>
      <c r="T150" s="7"/>
      <c r="U150" s="13">
        <v>1</v>
      </c>
      <c r="V150" s="13">
        <v>1</v>
      </c>
      <c r="W150" s="7"/>
      <c r="X150" s="1">
        <f t="shared" si="66"/>
        <v>1</v>
      </c>
      <c r="Y150" s="1">
        <f t="shared" si="67"/>
        <v>0</v>
      </c>
      <c r="Z150" s="1" t="b">
        <f t="shared" si="68"/>
        <v>0</v>
      </c>
      <c r="AA150" s="1" t="str">
        <f t="shared" si="69"/>
        <v>1DH</v>
      </c>
      <c r="AB150" s="1" t="str">
        <f t="shared" si="70"/>
        <v>Wrong</v>
      </c>
    </row>
  </sheetData>
  <sortState ref="B4:I1012">
    <sortCondition descending="1" ref="I4:I1012"/>
  </sortState>
  <conditionalFormatting sqref="AQ6:AS15">
    <cfRule type="cellIs" dxfId="5" priority="1" operator="between">
      <formula>0.0001</formula>
      <formula>0.99999</formula>
    </cfRule>
    <cfRule type="cellIs" dxfId="4" priority="2" operator="equal">
      <formula>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4:E19"/>
  <sheetViews>
    <sheetView showGridLines="0" workbookViewId="0">
      <selection activeCell="A5" sqref="A5"/>
    </sheetView>
  </sheetViews>
  <sheetFormatPr defaultRowHeight="15" x14ac:dyDescent="0.25"/>
  <cols>
    <col min="1" max="1" width="13.28515625" bestFit="1" customWidth="1"/>
    <col min="2" max="4" width="10.7109375" customWidth="1"/>
  </cols>
  <sheetData>
    <row r="4" spans="1:4" x14ac:dyDescent="0.25">
      <c r="B4" s="40" t="s">
        <v>101</v>
      </c>
      <c r="C4" s="40" t="s">
        <v>102</v>
      </c>
      <c r="D4" s="40" t="s">
        <v>102</v>
      </c>
    </row>
    <row r="5" spans="1:4" x14ac:dyDescent="0.25">
      <c r="B5" s="21" t="s">
        <v>98</v>
      </c>
      <c r="C5" s="21" t="s">
        <v>93</v>
      </c>
      <c r="D5" s="21" t="s">
        <v>94</v>
      </c>
    </row>
    <row r="6" spans="1:4" x14ac:dyDescent="0.25">
      <c r="A6" s="20" t="s">
        <v>66</v>
      </c>
      <c r="B6" s="47">
        <v>0</v>
      </c>
      <c r="C6" s="48"/>
      <c r="D6" s="47">
        <v>0</v>
      </c>
    </row>
    <row r="7" spans="1:4" x14ac:dyDescent="0.25">
      <c r="A7" s="20" t="s">
        <v>63</v>
      </c>
      <c r="B7" s="47">
        <v>0</v>
      </c>
      <c r="C7" s="47">
        <v>0</v>
      </c>
      <c r="D7" s="47">
        <v>0</v>
      </c>
    </row>
    <row r="8" spans="1:4" x14ac:dyDescent="0.25">
      <c r="A8" s="20" t="s">
        <v>67</v>
      </c>
      <c r="B8" s="47">
        <v>0</v>
      </c>
      <c r="C8" s="47">
        <v>0</v>
      </c>
      <c r="D8" s="48"/>
    </row>
    <row r="9" spans="1:4" x14ac:dyDescent="0.25">
      <c r="A9" s="20" t="s">
        <v>9</v>
      </c>
      <c r="B9" s="47">
        <v>0</v>
      </c>
      <c r="C9" s="47">
        <v>0</v>
      </c>
      <c r="D9" s="48"/>
    </row>
    <row r="10" spans="1:4" x14ac:dyDescent="0.25">
      <c r="A10" s="20" t="s">
        <v>64</v>
      </c>
      <c r="B10" s="47">
        <v>0</v>
      </c>
      <c r="C10" s="47">
        <v>0</v>
      </c>
      <c r="D10" s="47">
        <v>0</v>
      </c>
    </row>
    <row r="11" spans="1:4" x14ac:dyDescent="0.25">
      <c r="A11" s="20" t="s">
        <v>70</v>
      </c>
      <c r="B11" s="47">
        <v>0</v>
      </c>
      <c r="C11" s="47">
        <v>0</v>
      </c>
      <c r="D11" s="47">
        <v>0</v>
      </c>
    </row>
    <row r="12" spans="1:4" x14ac:dyDescent="0.25">
      <c r="A12" s="20" t="s">
        <v>7</v>
      </c>
      <c r="B12" s="47">
        <v>0</v>
      </c>
      <c r="C12" s="47">
        <v>0</v>
      </c>
      <c r="D12" s="48"/>
    </row>
    <row r="13" spans="1:4" x14ac:dyDescent="0.25">
      <c r="A13" s="20" t="s">
        <v>8</v>
      </c>
      <c r="B13" s="47">
        <v>0</v>
      </c>
      <c r="C13" s="47">
        <v>0</v>
      </c>
      <c r="D13" s="47">
        <v>0</v>
      </c>
    </row>
    <row r="14" spans="1:4" x14ac:dyDescent="0.25">
      <c r="A14" s="20" t="s">
        <v>6</v>
      </c>
      <c r="B14" s="47">
        <v>0</v>
      </c>
      <c r="C14" s="47">
        <v>0</v>
      </c>
      <c r="D14" s="47">
        <v>0</v>
      </c>
    </row>
    <row r="15" spans="1:4" x14ac:dyDescent="0.25">
      <c r="A15" s="20" t="s">
        <v>5</v>
      </c>
      <c r="B15" s="48"/>
      <c r="C15" s="47">
        <v>0.5</v>
      </c>
      <c r="D15" s="47">
        <v>0</v>
      </c>
    </row>
    <row r="17" spans="1:5" x14ac:dyDescent="0.25">
      <c r="A17" s="2" t="s">
        <v>105</v>
      </c>
      <c r="D17" s="50">
        <f>COUNTIF(B6:D15,1)</f>
        <v>0</v>
      </c>
      <c r="E17" s="52" t="s">
        <v>112</v>
      </c>
    </row>
    <row r="18" spans="1:5" x14ac:dyDescent="0.25">
      <c r="A18" s="2" t="s">
        <v>106</v>
      </c>
      <c r="D18" s="50">
        <f>MIN(D17,20)*1+MAX(D17-20,0)*2</f>
        <v>0</v>
      </c>
      <c r="E18" s="52" t="s">
        <v>108</v>
      </c>
    </row>
    <row r="19" spans="1:5" hidden="1" x14ac:dyDescent="0.25">
      <c r="A19" s="2" t="s">
        <v>107</v>
      </c>
      <c r="D19" s="51">
        <f>D18/30</f>
        <v>0</v>
      </c>
    </row>
  </sheetData>
  <sheetProtection password="F574" sheet="1" objects="1" scenarios="1"/>
  <conditionalFormatting sqref="B6:D15">
    <cfRule type="cellIs" dxfId="1" priority="1" operator="between">
      <formula>0.0001</formula>
      <formula>0.99999</formula>
    </cfRule>
    <cfRule type="cellIs" dxfId="0" priority="2" operator="equal">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owMarkForm">
                <anchor moveWithCells="1">
                  <from>
                    <xdr:col>3</xdr:col>
                    <xdr:colOff>38100</xdr:colOff>
                    <xdr:row>0</xdr:row>
                    <xdr:rowOff>123825</xdr:rowOff>
                  </from>
                  <to>
                    <xdr:col>3</xdr:col>
                    <xdr:colOff>685800</xdr:colOff>
                    <xdr:row>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Important</vt:lpstr>
      <vt:lpstr>Answer</vt:lpstr>
      <vt:lpstr>Mark</vt:lpstr>
      <vt:lpstr>Hand1</vt:lpstr>
      <vt:lpstr>Hand1_Data</vt:lpstr>
      <vt:lpstr>Hand2</vt:lpstr>
      <vt:lpstr>Hand2_Data</vt:lpstr>
      <vt:lpstr>MarkGrid</vt:lpstr>
      <vt:lpstr>MarkGrid_Master</vt:lpstr>
      <vt:lpstr>Score1</vt:lpstr>
      <vt:lpstr>Score1_Data</vt:lpstr>
      <vt:lpstr>Score2</vt:lpstr>
      <vt:lpstr>Score2_Data</vt:lpstr>
      <vt:lpstr>StrongestHand</vt:lpstr>
      <vt:lpstr>StrongestHand_Data</vt:lpstr>
      <vt:lpstr>StrongestHand_Result</vt:lpstr>
      <vt:lpstr>Winner</vt:lpstr>
      <vt:lpstr>Winner_Data</vt:lpstr>
      <vt:lpstr>Winner_Result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McDaid</dc:creator>
  <cp:lastModifiedBy>Dan Mayoh</cp:lastModifiedBy>
  <dcterms:created xsi:type="dcterms:W3CDTF">2012-10-04T09:05:41Z</dcterms:created>
  <dcterms:modified xsi:type="dcterms:W3CDTF">2013-10-02T22:49:23Z</dcterms:modified>
</cp:coreProperties>
</file>